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L " sheetId="1" r:id="rId4"/>
    <sheet state="visible" name="LAVAMANOS" sheetId="2" r:id="rId5"/>
    <sheet state="visible" name="ESPEJOS MODERNOS" sheetId="3" r:id="rId6"/>
    <sheet state="visible" name="ESPEJOS Y CUADROS " sheetId="4" r:id="rId7"/>
    <sheet state="visible" name="REVESTIMIENTOS " sheetId="5" r:id="rId8"/>
  </sheets>
  <definedNames/>
  <calcPr/>
  <extLst>
    <ext uri="GoogleSheetsCustomDataVersion2">
      <go:sheetsCustomData xmlns:go="http://customooxmlschemas.google.com/" r:id="rId9" roundtripDataChecksum="PYujzQL/bU2u0k/QLXz4LBM2wBBC1NJaRZ9a+Z9naOE="/>
    </ext>
  </extLst>
</workbook>
</file>

<file path=xl/sharedStrings.xml><?xml version="1.0" encoding="utf-8"?>
<sst xmlns="http://schemas.openxmlformats.org/spreadsheetml/2006/main" count="604" uniqueCount="196">
  <si>
    <t>sku</t>
  </si>
  <si>
    <t xml:space="preserve">ESPEJOS MODERNOS </t>
  </si>
  <si>
    <t xml:space="preserve">LAVAMANOS </t>
  </si>
  <si>
    <t>NOMBRE</t>
  </si>
  <si>
    <t>Categoria</t>
  </si>
  <si>
    <t xml:space="preserve">CANTIDAD UNIDADES </t>
  </si>
  <si>
    <t>ESTADO</t>
  </si>
  <si>
    <t>Precio regular</t>
  </si>
  <si>
    <t>Precio en oferta</t>
  </si>
  <si>
    <t>Garantia</t>
  </si>
  <si>
    <t>NUMERO</t>
  </si>
  <si>
    <t>cantidad en bodega</t>
  </si>
  <si>
    <t>Cantidad en tienda</t>
  </si>
  <si>
    <t>MODELO</t>
  </si>
  <si>
    <t>cantidad web</t>
  </si>
  <si>
    <t xml:space="preserve">CANTIDAD CAJAS </t>
  </si>
  <si>
    <t xml:space="preserve">SALEN </t>
  </si>
  <si>
    <t xml:space="preserve">TOTAL INVENTARIO </t>
  </si>
  <si>
    <t>MD680101</t>
  </si>
  <si>
    <t>A725-CA42</t>
  </si>
  <si>
    <t>Papel de colgadura</t>
  </si>
  <si>
    <t>Privado</t>
  </si>
  <si>
    <t>4 años</t>
  </si>
  <si>
    <t>RB033</t>
  </si>
  <si>
    <t>A585A-P01M</t>
  </si>
  <si>
    <t>MD680209</t>
  </si>
  <si>
    <t>A524A-P01M</t>
  </si>
  <si>
    <t>HP 120X90 0947</t>
  </si>
  <si>
    <t>5 años</t>
  </si>
  <si>
    <t>A691 CBK UG04 M</t>
  </si>
  <si>
    <t>MD680301</t>
  </si>
  <si>
    <t>A707 CUG20 M</t>
  </si>
  <si>
    <t>6 años</t>
  </si>
  <si>
    <t>A709 CUG01 M</t>
  </si>
  <si>
    <t>SF021</t>
  </si>
  <si>
    <t>A706 CUG04M</t>
  </si>
  <si>
    <t>MD680313</t>
  </si>
  <si>
    <t>A787 P45M</t>
  </si>
  <si>
    <t>7 años</t>
  </si>
  <si>
    <t>A739 P42- 9M</t>
  </si>
  <si>
    <t>MD680312</t>
  </si>
  <si>
    <t>A723 P04M</t>
  </si>
  <si>
    <t>8 años</t>
  </si>
  <si>
    <t>A822 P04M</t>
  </si>
  <si>
    <t>MD680402B</t>
  </si>
  <si>
    <t>HP 120X90 0948</t>
  </si>
  <si>
    <t>A544 GGCBK18</t>
  </si>
  <si>
    <t>9 años</t>
  </si>
  <si>
    <t>HP 120X90 0963</t>
  </si>
  <si>
    <t>A787 GGCBK09</t>
  </si>
  <si>
    <t>MD680510-B</t>
  </si>
  <si>
    <t>A787 CMCM</t>
  </si>
  <si>
    <t>HP 120X90 0964</t>
  </si>
  <si>
    <t>10 años</t>
  </si>
  <si>
    <t>A734 CLKA M1840</t>
  </si>
  <si>
    <t>HP 70X140 1465</t>
  </si>
  <si>
    <t>MD680512-B</t>
  </si>
  <si>
    <t>A787CDGRM</t>
  </si>
  <si>
    <t>HP 50X150 1546</t>
  </si>
  <si>
    <t>11 años</t>
  </si>
  <si>
    <t>A712 CA52M</t>
  </si>
  <si>
    <t>HP 80X80 1097</t>
  </si>
  <si>
    <t>MD680603</t>
  </si>
  <si>
    <t>HP 80X80 1098</t>
  </si>
  <si>
    <t>12 años</t>
  </si>
  <si>
    <t>SF022</t>
  </si>
  <si>
    <t>HP 80X80 1103</t>
  </si>
  <si>
    <t>MD680704</t>
  </si>
  <si>
    <t>agotado</t>
  </si>
  <si>
    <t>HP 80X80 1104</t>
  </si>
  <si>
    <t>13 años</t>
  </si>
  <si>
    <t>HP 100X140 0921</t>
  </si>
  <si>
    <t>MD680904</t>
  </si>
  <si>
    <t>14 años</t>
  </si>
  <si>
    <t>HP 100X140 0923</t>
  </si>
  <si>
    <t>GY 78X78 1606</t>
  </si>
  <si>
    <t>MD681014</t>
  </si>
  <si>
    <t>15 años</t>
  </si>
  <si>
    <t>GY 87X87 1608</t>
  </si>
  <si>
    <t>GY 50X150 1601</t>
  </si>
  <si>
    <t>MD681113</t>
  </si>
  <si>
    <t>GY 50X150 1604</t>
  </si>
  <si>
    <t>16 años</t>
  </si>
  <si>
    <t>GY 77X117 1589</t>
  </si>
  <si>
    <t>MD681209</t>
  </si>
  <si>
    <t>GY 77X117 1593</t>
  </si>
  <si>
    <t>17 años</t>
  </si>
  <si>
    <t>GY 77X117 1594</t>
  </si>
  <si>
    <t>MD681309</t>
  </si>
  <si>
    <t>Disponible</t>
  </si>
  <si>
    <t>AH 60160 045GD</t>
  </si>
  <si>
    <t>18 años</t>
  </si>
  <si>
    <t>MD681412</t>
  </si>
  <si>
    <t>AH 60160 045BK</t>
  </si>
  <si>
    <t>19 años</t>
  </si>
  <si>
    <t>SW R80 070</t>
  </si>
  <si>
    <t>MD681511</t>
  </si>
  <si>
    <t>AH 60120 040</t>
  </si>
  <si>
    <t>20 años</t>
  </si>
  <si>
    <t>AH 60120 043</t>
  </si>
  <si>
    <t>MD681706</t>
  </si>
  <si>
    <t>21 años</t>
  </si>
  <si>
    <t>AH 60120 037BK</t>
  </si>
  <si>
    <t>MD680103</t>
  </si>
  <si>
    <t>22 años</t>
  </si>
  <si>
    <t>AH 60120 037GD</t>
  </si>
  <si>
    <t>MD681901</t>
  </si>
  <si>
    <t>23 años</t>
  </si>
  <si>
    <t>AH 60160 051BK</t>
  </si>
  <si>
    <t>Lavamanos</t>
  </si>
  <si>
    <t>AH 60160 051GD</t>
  </si>
  <si>
    <t>AH 60160 050BK</t>
  </si>
  <si>
    <t>AH 60160 050GD</t>
  </si>
  <si>
    <t>AH R80 001</t>
  </si>
  <si>
    <t>AH R80 006GD</t>
  </si>
  <si>
    <t>AH R80 006BK</t>
  </si>
  <si>
    <t>AH 60160 022BK</t>
  </si>
  <si>
    <t>AH 60160 022GD</t>
  </si>
  <si>
    <t>1 años</t>
  </si>
  <si>
    <t>2 años</t>
  </si>
  <si>
    <t>3 años</t>
  </si>
  <si>
    <t>Espejos modernos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</si>
  <si>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</si>
  <si>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</si>
  <si>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</si>
  <si>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</si>
  <si>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</si>
  <si>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</si>
  <si>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</si>
  <si>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</si>
  <si>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</si>
  <si>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 xml:space="preserve">REVESTIMIENTOS </t>
  </si>
  <si>
    <t>33 años</t>
  </si>
  <si>
    <t>34 años</t>
  </si>
  <si>
    <t>35 años</t>
  </si>
  <si>
    <t>36 años</t>
  </si>
  <si>
    <t xml:space="preserve">crate 1 </t>
  </si>
  <si>
    <t>37 años</t>
  </si>
  <si>
    <t>Flexible Stone Panel (Startmoon stone)</t>
  </si>
  <si>
    <t>38 años</t>
  </si>
  <si>
    <t>Espejos y cuadros</t>
  </si>
  <si>
    <t>39 años</t>
  </si>
  <si>
    <t xml:space="preserve"> crate 2</t>
  </si>
  <si>
    <t>Flexible Stone Panel (Weaving)</t>
  </si>
  <si>
    <t>40 años</t>
  </si>
  <si>
    <t>crate 3</t>
  </si>
  <si>
    <t>Flexible Stone Panel (Line stone board)</t>
  </si>
  <si>
    <t>41 años</t>
  </si>
  <si>
    <t>crate 4</t>
  </si>
  <si>
    <t>42 años</t>
  </si>
  <si>
    <t>Travertine Flexible Stone Panel（Travertine)-3</t>
  </si>
  <si>
    <t>Flexible Stone Panel（Travertine)-2</t>
  </si>
  <si>
    <t>crate 5</t>
  </si>
  <si>
    <t>43 años</t>
  </si>
  <si>
    <t>Flexible Stone Panel（Travertine)-1</t>
  </si>
  <si>
    <t>44 años</t>
  </si>
  <si>
    <t>45 años</t>
  </si>
  <si>
    <t>crate 6</t>
  </si>
  <si>
    <t>46 años</t>
  </si>
  <si>
    <t>Flexible Stone Panel (Square line stone)</t>
  </si>
  <si>
    <t>crate 7</t>
  </si>
  <si>
    <t>47 años</t>
  </si>
  <si>
    <t>Flexible Stone Panel（Slate)</t>
  </si>
  <si>
    <t>Flexible Stone Panel (Rockcut Stone)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</si>
  <si>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</si>
  <si>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</si>
  <si>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</si>
  <si>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</si>
  <si>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</si>
  <si>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</si>
  <si>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</si>
  <si>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</si>
  <si>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</si>
  <si>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</si>
  <si>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</si>
  <si>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</si>
  <si>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</si>
  <si>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</si>
  <si>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</si>
  <si>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</si>
  <si>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</si>
  <si>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</si>
  <si>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</si>
  <si>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</si>
  <si>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</si>
  <si>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</si>
  <si>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</si>
  <si>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</si>
  <si>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</si>
  <si>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Revestimientos</t>
  </si>
  <si>
    <t>73 años</t>
  </si>
  <si>
    <t>74 años</t>
  </si>
  <si>
    <t>75 años</t>
  </si>
  <si>
    <t>76 años</t>
  </si>
  <si>
    <t>77 años</t>
  </si>
  <si>
    <t>78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</si>
</sst>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18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0" fillId="0" fontId="4" numFmtId="0" xfId="0" applyAlignment="1" applyFont="1">
      <alignment horizontal="left" readingOrder="0"/>
    </xf>
    <xf borderId="4" fillId="0" fontId="3" numFmtId="0" xfId="0" applyBorder="1" applyFont="1"/>
    <xf borderId="1" fillId="0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left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readingOrder="0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0" fillId="0" fontId="4" numFmtId="0" xfId="0" applyFont="1"/>
    <xf borderId="1" fillId="0" fontId="5" numFmtId="0" xfId="0" applyAlignment="1" applyBorder="1" applyFont="1">
      <alignment horizontal="left" vertical="center"/>
    </xf>
    <xf borderId="0" fillId="0" fontId="1" numFmtId="0" xfId="0" applyFont="1"/>
    <xf borderId="5" fillId="0" fontId="5" numFmtId="0" xfId="0" applyBorder="1" applyFont="1"/>
    <xf borderId="0" fillId="0" fontId="5" numFmtId="0" xfId="0" applyAlignment="1" applyFont="1">
      <alignment horizontal="left" readingOrder="0"/>
    </xf>
    <xf borderId="5" fillId="0" fontId="1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2" fontId="7" numFmtId="0" xfId="0" applyAlignment="1" applyBorder="1" applyFill="1" applyFont="1">
      <alignment horizontal="center" shrinkToFit="0" vertical="center" wrapText="1"/>
    </xf>
    <xf borderId="6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1" fillId="2" fontId="7" numFmtId="0" xfId="0" applyAlignment="1" applyBorder="1" applyFill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3" width="22.43"/>
    <col customWidth="1" min="4" max="4" width="13.43"/>
    <col customWidth="1" min="5" max="5" width="15.71"/>
    <col customWidth="1" min="6" max="6" width="15.86"/>
    <col customWidth="1" min="7" max="7" width="16.86"/>
    <col customWidth="1" min="8" max="8" width="10.71"/>
    <col customWidth="1" min="9" max="9" width="23.43"/>
    <col customWidth="1" min="10" max="10" width="20.86"/>
    <col customWidth="1" min="11" max="11" width="19.57"/>
    <col customWidth="1" min="12" max="25" width="10.71"/>
  </cols>
  <sheetData>
    <row r="1">
      <c r="A1" s="1" t="s">
        <v>0</v>
      </c>
      <c r="B1" s="1" t="s">
        <v>3</v>
      </c>
      <c r="C1" s="1" t="s">
        <v>4</v>
      </c>
      <c r="D1" s="3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11</v>
      </c>
      <c r="J1" s="5" t="s">
        <v>12</v>
      </c>
      <c r="K1" s="5" t="s">
        <v>14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12" t="s">
        <v>18</v>
      </c>
      <c r="B2" s="14" t="s">
        <v>20</v>
      </c>
      <c r="C2" s="14" t="s">
        <v>20</v>
      </c>
      <c r="D2" s="12">
        <v>80.0</v>
      </c>
      <c r="E2" s="5" t="s">
        <v>21</v>
      </c>
      <c r="F2" s="5">
        <v>900000.0</v>
      </c>
      <c r="G2" s="5">
        <v>800000.0</v>
      </c>
      <c r="H2" s="5" t="s">
        <v>22</v>
      </c>
      <c r="I2" s="12">
        <v>80.0</v>
      </c>
      <c r="J2" s="5">
        <v>75.0</v>
      </c>
      <c r="K2" s="5">
        <v>5.0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2" t="s">
        <v>25</v>
      </c>
      <c r="B3" s="14" t="s">
        <v>20</v>
      </c>
      <c r="C3" s="14" t="s">
        <v>20</v>
      </c>
      <c r="D3" s="12">
        <v>86.0</v>
      </c>
      <c r="E3" s="5" t="s">
        <v>21</v>
      </c>
      <c r="F3" s="5">
        <v>900000.0</v>
      </c>
      <c r="G3" s="5">
        <v>800000.0</v>
      </c>
      <c r="H3" s="5" t="s">
        <v>28</v>
      </c>
      <c r="I3" s="12">
        <v>86.0</v>
      </c>
      <c r="J3" s="5">
        <v>75.0</v>
      </c>
      <c r="K3" s="5">
        <v>11.0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2" t="s">
        <v>30</v>
      </c>
      <c r="B4" s="14" t="s">
        <v>20</v>
      </c>
      <c r="C4" s="14" t="s">
        <v>20</v>
      </c>
      <c r="D4" s="12">
        <v>79.0</v>
      </c>
      <c r="E4" s="5" t="s">
        <v>21</v>
      </c>
      <c r="F4" s="5">
        <v>900000.0</v>
      </c>
      <c r="G4" s="5">
        <v>800000.0</v>
      </c>
      <c r="H4" s="5" t="s">
        <v>32</v>
      </c>
      <c r="I4" s="12">
        <v>79.0</v>
      </c>
      <c r="J4" s="5">
        <v>70.0</v>
      </c>
      <c r="K4" s="5">
        <v>9.0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2" t="s">
        <v>36</v>
      </c>
      <c r="B5" s="14" t="s">
        <v>20</v>
      </c>
      <c r="C5" s="14" t="s">
        <v>20</v>
      </c>
      <c r="D5" s="12">
        <v>79.0</v>
      </c>
      <c r="E5" s="5" t="s">
        <v>21</v>
      </c>
      <c r="F5" s="5">
        <v>900000.0</v>
      </c>
      <c r="G5" s="5">
        <v>800000.0</v>
      </c>
      <c r="H5" s="5" t="s">
        <v>38</v>
      </c>
      <c r="I5" s="12">
        <v>79.0</v>
      </c>
      <c r="J5" s="5">
        <v>70.0</v>
      </c>
      <c r="K5" s="5">
        <v>9.0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2" t="s">
        <v>40</v>
      </c>
      <c r="B6" s="14" t="s">
        <v>20</v>
      </c>
      <c r="C6" s="14" t="s">
        <v>20</v>
      </c>
      <c r="D6" s="12">
        <v>82.0</v>
      </c>
      <c r="E6" s="5" t="s">
        <v>21</v>
      </c>
      <c r="F6" s="5">
        <v>900000.0</v>
      </c>
      <c r="G6" s="5">
        <v>800000.0</v>
      </c>
      <c r="H6" s="5" t="s">
        <v>42</v>
      </c>
      <c r="I6" s="12">
        <v>82.0</v>
      </c>
      <c r="J6" s="5">
        <v>80.0</v>
      </c>
      <c r="K6" s="5">
        <v>2.0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2" t="s">
        <v>44</v>
      </c>
      <c r="B7" s="14" t="s">
        <v>20</v>
      </c>
      <c r="C7" s="14" t="s">
        <v>20</v>
      </c>
      <c r="D7" s="12">
        <v>78.0</v>
      </c>
      <c r="E7" s="5" t="s">
        <v>21</v>
      </c>
      <c r="F7" s="5">
        <v>900000.0</v>
      </c>
      <c r="G7" s="5">
        <v>800000.0</v>
      </c>
      <c r="H7" s="5" t="s">
        <v>47</v>
      </c>
      <c r="I7" s="12">
        <v>78.0</v>
      </c>
      <c r="J7" s="5">
        <v>70.0</v>
      </c>
      <c r="K7" s="5">
        <v>8.0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2" t="s">
        <v>50</v>
      </c>
      <c r="B8" s="14" t="s">
        <v>20</v>
      </c>
      <c r="C8" s="14" t="s">
        <v>20</v>
      </c>
      <c r="D8" s="12">
        <v>94.0</v>
      </c>
      <c r="E8" s="5" t="s">
        <v>21</v>
      </c>
      <c r="F8" s="5">
        <v>900000.0</v>
      </c>
      <c r="G8" s="5">
        <v>800000.0</v>
      </c>
      <c r="H8" s="5" t="s">
        <v>53</v>
      </c>
      <c r="I8" s="12">
        <v>94.0</v>
      </c>
      <c r="J8" s="5">
        <v>90.0</v>
      </c>
      <c r="K8" s="5">
        <v>4.0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2" t="s">
        <v>56</v>
      </c>
      <c r="B9" s="14" t="s">
        <v>20</v>
      </c>
      <c r="C9" s="14" t="s">
        <v>20</v>
      </c>
      <c r="D9" s="12">
        <v>70.0</v>
      </c>
      <c r="E9" s="5" t="s">
        <v>21</v>
      </c>
      <c r="F9" s="5">
        <v>900000.0</v>
      </c>
      <c r="G9" s="5">
        <v>800000.0</v>
      </c>
      <c r="H9" s="5" t="s">
        <v>59</v>
      </c>
      <c r="I9" s="12">
        <v>70.0</v>
      </c>
      <c r="J9" s="5">
        <v>65.0</v>
      </c>
      <c r="K9" s="5">
        <v>5.0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2" t="s">
        <v>62</v>
      </c>
      <c r="B10" s="14" t="s">
        <v>20</v>
      </c>
      <c r="C10" s="14" t="s">
        <v>20</v>
      </c>
      <c r="D10" s="12">
        <v>74.0</v>
      </c>
      <c r="E10" s="5" t="s">
        <v>21</v>
      </c>
      <c r="F10" s="5">
        <v>900000.0</v>
      </c>
      <c r="G10" s="5">
        <v>800000.0</v>
      </c>
      <c r="H10" s="5" t="s">
        <v>64</v>
      </c>
      <c r="I10" s="12">
        <v>74.0</v>
      </c>
      <c r="J10" s="5">
        <v>70.0</v>
      </c>
      <c r="K10" s="5">
        <v>4.0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2" t="s">
        <v>67</v>
      </c>
      <c r="B11" s="14" t="s">
        <v>20</v>
      </c>
      <c r="C11" s="14" t="s">
        <v>20</v>
      </c>
      <c r="D11" s="12">
        <v>79.0</v>
      </c>
      <c r="E11" s="5" t="s">
        <v>68</v>
      </c>
      <c r="F11" s="5">
        <v>900000.0</v>
      </c>
      <c r="G11" s="5">
        <v>800000.0</v>
      </c>
      <c r="H11" s="5" t="s">
        <v>70</v>
      </c>
      <c r="I11" s="12">
        <v>79.0</v>
      </c>
      <c r="J11" s="5">
        <v>70.0</v>
      </c>
      <c r="K11" s="5">
        <v>9.0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2" t="s">
        <v>72</v>
      </c>
      <c r="B12" s="14" t="s">
        <v>20</v>
      </c>
      <c r="C12" s="14" t="s">
        <v>20</v>
      </c>
      <c r="D12" s="12">
        <v>65.0</v>
      </c>
      <c r="E12" s="5" t="s">
        <v>21</v>
      </c>
      <c r="F12" s="5">
        <v>900000.0</v>
      </c>
      <c r="G12" s="5">
        <v>800000.0</v>
      </c>
      <c r="H12" s="5" t="s">
        <v>73</v>
      </c>
      <c r="I12" s="12">
        <v>65.0</v>
      </c>
      <c r="J12" s="5">
        <v>60.0</v>
      </c>
      <c r="K12" s="5">
        <v>5.0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2" t="s">
        <v>76</v>
      </c>
      <c r="B13" s="14" t="s">
        <v>20</v>
      </c>
      <c r="C13" s="14" t="s">
        <v>20</v>
      </c>
      <c r="D13" s="12">
        <v>71.0</v>
      </c>
      <c r="E13" s="5" t="s">
        <v>21</v>
      </c>
      <c r="F13" s="5">
        <v>900000.0</v>
      </c>
      <c r="G13" s="5">
        <v>800000.0</v>
      </c>
      <c r="H13" s="5" t="s">
        <v>77</v>
      </c>
      <c r="I13" s="12">
        <v>71.0</v>
      </c>
      <c r="J13" s="5">
        <v>65.0</v>
      </c>
      <c r="K13" s="5">
        <v>6.0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8" t="s">
        <v>80</v>
      </c>
      <c r="B14" s="14" t="s">
        <v>20</v>
      </c>
      <c r="C14" s="14" t="s">
        <v>20</v>
      </c>
      <c r="D14" s="14">
        <v>71.0</v>
      </c>
      <c r="E14" s="5" t="s">
        <v>21</v>
      </c>
      <c r="F14" s="5">
        <v>900000.0</v>
      </c>
      <c r="G14" s="5">
        <v>800000.0</v>
      </c>
      <c r="H14" s="5" t="s">
        <v>82</v>
      </c>
      <c r="I14" s="14">
        <v>71.0</v>
      </c>
      <c r="J14" s="5">
        <v>36.0</v>
      </c>
      <c r="K14" s="5">
        <v>35.0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2" t="s">
        <v>84</v>
      </c>
      <c r="B15" s="14" t="s">
        <v>20</v>
      </c>
      <c r="C15" s="14" t="s">
        <v>20</v>
      </c>
      <c r="D15" s="12">
        <v>75.0</v>
      </c>
      <c r="E15" s="5" t="s">
        <v>21</v>
      </c>
      <c r="F15" s="5">
        <v>900000.0</v>
      </c>
      <c r="G15" s="5">
        <v>800000.0</v>
      </c>
      <c r="H15" s="5" t="s">
        <v>86</v>
      </c>
      <c r="I15" s="12">
        <v>75.0</v>
      </c>
      <c r="J15" s="5">
        <v>70.0</v>
      </c>
      <c r="K15" s="5">
        <v>5.0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2" t="s">
        <v>88</v>
      </c>
      <c r="B16" s="14" t="s">
        <v>20</v>
      </c>
      <c r="C16" s="14" t="s">
        <v>20</v>
      </c>
      <c r="D16" s="12">
        <v>75.0</v>
      </c>
      <c r="E16" s="5" t="s">
        <v>89</v>
      </c>
      <c r="F16" s="5">
        <v>900000.0</v>
      </c>
      <c r="G16" s="5">
        <v>800000.0</v>
      </c>
      <c r="H16" s="5" t="s">
        <v>91</v>
      </c>
      <c r="I16" s="12">
        <v>75.0</v>
      </c>
      <c r="J16" s="5">
        <v>60.0</v>
      </c>
      <c r="K16" s="5">
        <v>15.0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2" t="s">
        <v>92</v>
      </c>
      <c r="B17" s="14" t="s">
        <v>20</v>
      </c>
      <c r="C17" s="14" t="s">
        <v>20</v>
      </c>
      <c r="D17" s="12">
        <v>86.0</v>
      </c>
      <c r="E17" s="5" t="s">
        <v>21</v>
      </c>
      <c r="F17" s="5">
        <v>900000.0</v>
      </c>
      <c r="G17" s="5">
        <v>800000.0</v>
      </c>
      <c r="H17" s="5" t="s">
        <v>94</v>
      </c>
      <c r="I17" s="12">
        <v>86.0</v>
      </c>
      <c r="J17" s="5">
        <v>80.0</v>
      </c>
      <c r="K17" s="5">
        <v>6.0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8" t="s">
        <v>96</v>
      </c>
      <c r="B18" s="14" t="s">
        <v>20</v>
      </c>
      <c r="C18" s="14" t="s">
        <v>20</v>
      </c>
      <c r="D18" s="14">
        <v>84.0</v>
      </c>
      <c r="E18" s="5" t="s">
        <v>21</v>
      </c>
      <c r="F18" s="5">
        <v>900000.0</v>
      </c>
      <c r="G18" s="5">
        <v>800000.0</v>
      </c>
      <c r="H18" s="5" t="s">
        <v>98</v>
      </c>
      <c r="I18" s="14">
        <v>84.0</v>
      </c>
      <c r="J18" s="5">
        <v>80.0</v>
      </c>
      <c r="K18" s="5">
        <v>4.0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12" t="s">
        <v>100</v>
      </c>
      <c r="B19" s="14" t="s">
        <v>20</v>
      </c>
      <c r="C19" s="14" t="s">
        <v>20</v>
      </c>
      <c r="D19" s="12">
        <v>81.0</v>
      </c>
      <c r="E19" s="5" t="s">
        <v>21</v>
      </c>
      <c r="F19" s="5">
        <v>900000.0</v>
      </c>
      <c r="G19" s="5">
        <v>800000.0</v>
      </c>
      <c r="H19" s="5" t="s">
        <v>101</v>
      </c>
      <c r="I19" s="12">
        <v>81.0</v>
      </c>
      <c r="J19" s="5">
        <v>75.0</v>
      </c>
      <c r="K19" s="5">
        <v>6.0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12" t="s">
        <v>103</v>
      </c>
      <c r="B20" s="14" t="s">
        <v>20</v>
      </c>
      <c r="C20" s="14" t="s">
        <v>20</v>
      </c>
      <c r="D20" s="12">
        <v>77.0</v>
      </c>
      <c r="E20" s="5" t="s">
        <v>21</v>
      </c>
      <c r="F20" s="5">
        <v>900000.0</v>
      </c>
      <c r="G20" s="5">
        <v>800000.0</v>
      </c>
      <c r="H20" s="5" t="s">
        <v>104</v>
      </c>
      <c r="I20" s="12">
        <v>77.0</v>
      </c>
      <c r="J20" s="5">
        <v>70.0</v>
      </c>
      <c r="K20" s="5">
        <v>5.0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12" t="s">
        <v>106</v>
      </c>
      <c r="B21" s="14" t="s">
        <v>20</v>
      </c>
      <c r="C21" s="14" t="s">
        <v>20</v>
      </c>
      <c r="D21" s="12">
        <v>6.0</v>
      </c>
      <c r="E21" s="5" t="s">
        <v>21</v>
      </c>
      <c r="F21" s="5">
        <v>900000.0</v>
      </c>
      <c r="G21" s="5">
        <v>800000.0</v>
      </c>
      <c r="H21" s="5" t="s">
        <v>107</v>
      </c>
      <c r="I21" s="12">
        <v>6.0</v>
      </c>
      <c r="J21" s="5">
        <v>5.0</v>
      </c>
      <c r="K21" s="5">
        <v>1.0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18" t="s">
        <v>19</v>
      </c>
      <c r="B22" s="21" t="s">
        <v>109</v>
      </c>
      <c r="C22" s="21" t="s">
        <v>109</v>
      </c>
      <c r="D22" s="14">
        <v>15.0</v>
      </c>
      <c r="E22" s="5" t="s">
        <v>21</v>
      </c>
      <c r="F22" s="5">
        <v>400000.0</v>
      </c>
      <c r="G22" s="5">
        <v>350000.0</v>
      </c>
      <c r="H22" s="5" t="s">
        <v>118</v>
      </c>
      <c r="I22" s="14">
        <v>15.0</v>
      </c>
      <c r="J22" s="5">
        <v>10.0</v>
      </c>
      <c r="K22" s="5">
        <v>5.0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18" t="s">
        <v>23</v>
      </c>
      <c r="B23" s="21" t="s">
        <v>109</v>
      </c>
      <c r="C23" s="21" t="s">
        <v>109</v>
      </c>
      <c r="D23" s="14">
        <v>14.0</v>
      </c>
      <c r="E23" s="5" t="s">
        <v>21</v>
      </c>
      <c r="F23" s="5">
        <v>400000.0</v>
      </c>
      <c r="G23" s="5">
        <v>350000.0</v>
      </c>
      <c r="H23" s="5" t="s">
        <v>119</v>
      </c>
      <c r="I23" s="14">
        <v>14.0</v>
      </c>
      <c r="J23" s="5">
        <v>10.0</v>
      </c>
      <c r="K23" s="5">
        <v>4.0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18" t="s">
        <v>24</v>
      </c>
      <c r="B24" s="21" t="s">
        <v>109</v>
      </c>
      <c r="C24" s="21" t="s">
        <v>109</v>
      </c>
      <c r="D24" s="14">
        <v>15.0</v>
      </c>
      <c r="E24" s="5" t="s">
        <v>21</v>
      </c>
      <c r="F24" s="5">
        <v>400000.0</v>
      </c>
      <c r="G24" s="5">
        <v>350000.0</v>
      </c>
      <c r="H24" s="5" t="s">
        <v>120</v>
      </c>
      <c r="I24" s="14">
        <v>15.0</v>
      </c>
      <c r="J24" s="5">
        <v>10.0</v>
      </c>
      <c r="K24" s="5">
        <v>5.0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18" t="s">
        <v>26</v>
      </c>
      <c r="B25" s="21" t="s">
        <v>109</v>
      </c>
      <c r="C25" s="21" t="s">
        <v>109</v>
      </c>
      <c r="D25" s="14">
        <v>15.0</v>
      </c>
      <c r="E25" s="5" t="s">
        <v>21</v>
      </c>
      <c r="F25" s="5">
        <v>400000.0</v>
      </c>
      <c r="G25" s="5">
        <v>350000.0</v>
      </c>
      <c r="H25" s="5" t="s">
        <v>22</v>
      </c>
      <c r="I25" s="14">
        <v>15.0</v>
      </c>
      <c r="J25" s="5">
        <v>10.0</v>
      </c>
      <c r="K25" s="5">
        <v>5.0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18" t="s">
        <v>29</v>
      </c>
      <c r="B26" s="21" t="s">
        <v>109</v>
      </c>
      <c r="C26" s="21" t="s">
        <v>109</v>
      </c>
      <c r="D26" s="14">
        <v>15.0</v>
      </c>
      <c r="E26" s="5" t="s">
        <v>21</v>
      </c>
      <c r="F26" s="5">
        <v>400000.0</v>
      </c>
      <c r="G26" s="5">
        <v>350000.0</v>
      </c>
      <c r="H26" s="5" t="s">
        <v>28</v>
      </c>
      <c r="I26" s="14">
        <v>15.0</v>
      </c>
      <c r="J26" s="5">
        <v>10.0</v>
      </c>
      <c r="K26" s="5">
        <v>5.0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18" t="s">
        <v>31</v>
      </c>
      <c r="B27" s="21" t="s">
        <v>109</v>
      </c>
      <c r="C27" s="21" t="s">
        <v>109</v>
      </c>
      <c r="D27" s="14">
        <v>15.0</v>
      </c>
      <c r="E27" s="5" t="s">
        <v>21</v>
      </c>
      <c r="F27" s="5">
        <v>400000.0</v>
      </c>
      <c r="G27" s="5">
        <v>350000.0</v>
      </c>
      <c r="H27" s="5" t="s">
        <v>32</v>
      </c>
      <c r="I27" s="14">
        <v>15.0</v>
      </c>
      <c r="J27" s="5">
        <v>10.0</v>
      </c>
      <c r="K27" s="5">
        <v>5.0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18" t="s">
        <v>33</v>
      </c>
      <c r="B28" s="21" t="s">
        <v>109</v>
      </c>
      <c r="C28" s="21" t="s">
        <v>109</v>
      </c>
      <c r="D28" s="14">
        <v>15.0</v>
      </c>
      <c r="E28" s="5" t="s">
        <v>21</v>
      </c>
      <c r="F28" s="5">
        <v>400000.0</v>
      </c>
      <c r="G28" s="5">
        <v>350000.0</v>
      </c>
      <c r="H28" s="5" t="s">
        <v>38</v>
      </c>
      <c r="I28" s="14">
        <v>15.0</v>
      </c>
      <c r="J28" s="5">
        <v>10.0</v>
      </c>
      <c r="K28" s="5">
        <v>5.0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18" t="s">
        <v>35</v>
      </c>
      <c r="B29" s="21" t="s">
        <v>109</v>
      </c>
      <c r="C29" s="21" t="s">
        <v>109</v>
      </c>
      <c r="D29" s="14">
        <v>15.0</v>
      </c>
      <c r="E29" s="5" t="s">
        <v>21</v>
      </c>
      <c r="F29" s="5">
        <v>400000.0</v>
      </c>
      <c r="G29" s="5">
        <v>350000.0</v>
      </c>
      <c r="H29" s="5" t="s">
        <v>42</v>
      </c>
      <c r="I29" s="14">
        <v>15.0</v>
      </c>
      <c r="J29" s="5">
        <v>10.0</v>
      </c>
      <c r="K29" s="5">
        <v>5.0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18" t="s">
        <v>37</v>
      </c>
      <c r="B30" s="21" t="s">
        <v>109</v>
      </c>
      <c r="C30" s="21" t="s">
        <v>109</v>
      </c>
      <c r="D30" s="14">
        <v>14.0</v>
      </c>
      <c r="E30" s="5" t="s">
        <v>21</v>
      </c>
      <c r="F30" s="5">
        <v>400000.0</v>
      </c>
      <c r="G30" s="5">
        <v>350000.0</v>
      </c>
      <c r="H30" s="5" t="s">
        <v>47</v>
      </c>
      <c r="I30" s="14">
        <v>14.0</v>
      </c>
      <c r="J30" s="5">
        <v>10.0</v>
      </c>
      <c r="K30" s="5">
        <v>4.0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18" t="s">
        <v>39</v>
      </c>
      <c r="B31" s="21" t="s">
        <v>109</v>
      </c>
      <c r="C31" s="21" t="s">
        <v>109</v>
      </c>
      <c r="D31" s="14">
        <v>15.0</v>
      </c>
      <c r="E31" s="5" t="s">
        <v>21</v>
      </c>
      <c r="F31" s="5">
        <v>400000.0</v>
      </c>
      <c r="G31" s="5">
        <v>350000.0</v>
      </c>
      <c r="H31" s="5" t="s">
        <v>53</v>
      </c>
      <c r="I31" s="14">
        <v>15.0</v>
      </c>
      <c r="J31" s="5">
        <v>10.0</v>
      </c>
      <c r="K31" s="5">
        <v>5.0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18" t="s">
        <v>41</v>
      </c>
      <c r="B32" s="21" t="s">
        <v>109</v>
      </c>
      <c r="C32" s="21" t="s">
        <v>109</v>
      </c>
      <c r="D32" s="14">
        <v>14.0</v>
      </c>
      <c r="E32" s="5" t="s">
        <v>21</v>
      </c>
      <c r="F32" s="5">
        <v>400000.0</v>
      </c>
      <c r="G32" s="5">
        <v>350000.0</v>
      </c>
      <c r="H32" s="5" t="s">
        <v>59</v>
      </c>
      <c r="I32" s="14">
        <v>14.0</v>
      </c>
      <c r="J32" s="5">
        <v>10.0</v>
      </c>
      <c r="K32" s="5">
        <v>4.0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18" t="s">
        <v>43</v>
      </c>
      <c r="B33" s="21" t="s">
        <v>109</v>
      </c>
      <c r="C33" s="21" t="s">
        <v>109</v>
      </c>
      <c r="D33" s="14">
        <v>15.0</v>
      </c>
      <c r="E33" s="5" t="s">
        <v>21</v>
      </c>
      <c r="F33" s="5">
        <v>400000.0</v>
      </c>
      <c r="G33" s="5">
        <v>350000.0</v>
      </c>
      <c r="H33" s="5" t="s">
        <v>64</v>
      </c>
      <c r="I33" s="14">
        <v>15.0</v>
      </c>
      <c r="J33" s="5">
        <v>10.0</v>
      </c>
      <c r="K33" s="5">
        <v>5.0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18" t="s">
        <v>46</v>
      </c>
      <c r="B34" s="21" t="s">
        <v>109</v>
      </c>
      <c r="C34" s="21" t="s">
        <v>109</v>
      </c>
      <c r="D34" s="14">
        <v>15.0</v>
      </c>
      <c r="E34" s="5" t="s">
        <v>21</v>
      </c>
      <c r="F34" s="5">
        <v>400000.0</v>
      </c>
      <c r="G34" s="5">
        <v>350000.0</v>
      </c>
      <c r="H34" s="5" t="s">
        <v>70</v>
      </c>
      <c r="I34" s="14">
        <v>15.0</v>
      </c>
      <c r="J34" s="5">
        <v>10.0</v>
      </c>
      <c r="K34" s="5">
        <v>5.0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18" t="s">
        <v>49</v>
      </c>
      <c r="B35" s="21" t="s">
        <v>109</v>
      </c>
      <c r="C35" s="21" t="s">
        <v>109</v>
      </c>
      <c r="D35" s="14">
        <v>14.0</v>
      </c>
      <c r="E35" s="5" t="s">
        <v>21</v>
      </c>
      <c r="F35" s="5">
        <v>400000.0</v>
      </c>
      <c r="G35" s="5">
        <v>350000.0</v>
      </c>
      <c r="H35" s="5" t="s">
        <v>73</v>
      </c>
      <c r="I35" s="14">
        <v>14.0</v>
      </c>
      <c r="J35" s="5">
        <v>10.0</v>
      </c>
      <c r="K35" s="5">
        <v>4.0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18" t="s">
        <v>51</v>
      </c>
      <c r="B36" s="21" t="s">
        <v>109</v>
      </c>
      <c r="C36" s="21" t="s">
        <v>109</v>
      </c>
      <c r="D36" s="14">
        <v>15.0</v>
      </c>
      <c r="E36" s="5" t="s">
        <v>21</v>
      </c>
      <c r="F36" s="5">
        <v>400000.0</v>
      </c>
      <c r="G36" s="5">
        <v>350000.0</v>
      </c>
      <c r="H36" s="5" t="s">
        <v>77</v>
      </c>
      <c r="I36" s="14">
        <v>15.0</v>
      </c>
      <c r="J36" s="5">
        <v>10.0</v>
      </c>
      <c r="K36" s="5">
        <v>5.0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18" t="s">
        <v>54</v>
      </c>
      <c r="B37" s="21" t="s">
        <v>109</v>
      </c>
      <c r="C37" s="21" t="s">
        <v>109</v>
      </c>
      <c r="D37" s="14">
        <v>15.0</v>
      </c>
      <c r="E37" s="5" t="s">
        <v>21</v>
      </c>
      <c r="F37" s="5">
        <v>400000.0</v>
      </c>
      <c r="G37" s="5">
        <v>350000.0</v>
      </c>
      <c r="H37" s="5" t="s">
        <v>82</v>
      </c>
      <c r="I37" s="14">
        <v>15.0</v>
      </c>
      <c r="J37" s="5">
        <v>10.0</v>
      </c>
      <c r="K37" s="5">
        <v>5.0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18" t="s">
        <v>57</v>
      </c>
      <c r="B38" s="21" t="s">
        <v>109</v>
      </c>
      <c r="C38" s="21" t="s">
        <v>109</v>
      </c>
      <c r="D38" s="14">
        <v>15.0</v>
      </c>
      <c r="E38" s="5" t="s">
        <v>21</v>
      </c>
      <c r="F38" s="5">
        <v>400000.0</v>
      </c>
      <c r="G38" s="5">
        <v>350000.0</v>
      </c>
      <c r="H38" s="5" t="s">
        <v>86</v>
      </c>
      <c r="I38" s="14">
        <v>15.0</v>
      </c>
      <c r="J38" s="5">
        <v>10.0</v>
      </c>
      <c r="K38" s="5">
        <v>5.0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18" t="s">
        <v>60</v>
      </c>
      <c r="B39" s="21" t="s">
        <v>109</v>
      </c>
      <c r="C39" s="21" t="s">
        <v>109</v>
      </c>
      <c r="D39" s="14">
        <v>15.0</v>
      </c>
      <c r="E39" s="5" t="s">
        <v>21</v>
      </c>
      <c r="F39" s="5">
        <v>400000.0</v>
      </c>
      <c r="G39" s="5">
        <v>350000.0</v>
      </c>
      <c r="H39" s="5" t="s">
        <v>91</v>
      </c>
      <c r="I39" s="14">
        <v>15.0</v>
      </c>
      <c r="J39" s="5">
        <v>10.0</v>
      </c>
      <c r="K39" s="5">
        <v>5.0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18">
        <v>5523.0</v>
      </c>
      <c r="B40" s="5" t="s">
        <v>121</v>
      </c>
      <c r="C40" s="5" t="s">
        <v>121</v>
      </c>
      <c r="D40" s="12">
        <v>10.0</v>
      </c>
      <c r="E40" s="5" t="s">
        <v>21</v>
      </c>
      <c r="F40" s="5">
        <v>1000000.0</v>
      </c>
      <c r="G40" s="5">
        <v>980000.0</v>
      </c>
      <c r="H40" s="5" t="s">
        <v>94</v>
      </c>
      <c r="I40" s="12">
        <v>10.0</v>
      </c>
      <c r="J40" s="5">
        <v>5.0</v>
      </c>
      <c r="K40" s="5">
        <v>5.0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18" t="s">
        <v>34</v>
      </c>
      <c r="B41" s="5" t="s">
        <v>121</v>
      </c>
      <c r="C41" s="5" t="s">
        <v>121</v>
      </c>
      <c r="D41" s="12">
        <v>5.0</v>
      </c>
      <c r="E41" s="5" t="s">
        <v>21</v>
      </c>
      <c r="F41" s="5">
        <v>1000000.0</v>
      </c>
      <c r="G41" s="5">
        <v>980000.0</v>
      </c>
      <c r="H41" s="5" t="s">
        <v>98</v>
      </c>
      <c r="I41" s="12">
        <v>5.0</v>
      </c>
      <c r="J41" s="5">
        <v>2.0</v>
      </c>
      <c r="K41" s="5">
        <v>3.0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18">
        <v>5814.0</v>
      </c>
      <c r="B42" s="5" t="s">
        <v>121</v>
      </c>
      <c r="C42" s="5" t="s">
        <v>121</v>
      </c>
      <c r="D42" s="12">
        <v>10.0</v>
      </c>
      <c r="E42" s="5" t="s">
        <v>21</v>
      </c>
      <c r="F42" s="5">
        <v>1000000.0</v>
      </c>
      <c r="G42" s="5">
        <v>980000.0</v>
      </c>
      <c r="H42" s="5" t="s">
        <v>101</v>
      </c>
      <c r="I42" s="12">
        <v>10.0</v>
      </c>
      <c r="J42" s="5">
        <v>5.0</v>
      </c>
      <c r="K42" s="5">
        <v>5.0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18">
        <v>5823.0</v>
      </c>
      <c r="B43" s="5" t="s">
        <v>121</v>
      </c>
      <c r="C43" s="5" t="s">
        <v>121</v>
      </c>
      <c r="D43" s="12">
        <v>10.0</v>
      </c>
      <c r="E43" s="5" t="s">
        <v>21</v>
      </c>
      <c r="F43" s="5">
        <v>1000000.0</v>
      </c>
      <c r="G43" s="5">
        <v>980000.0</v>
      </c>
      <c r="H43" s="5" t="s">
        <v>104</v>
      </c>
      <c r="I43" s="12">
        <v>10.0</v>
      </c>
      <c r="J43" s="5">
        <v>5.0</v>
      </c>
      <c r="K43" s="5">
        <v>5.0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18">
        <v>5822.0</v>
      </c>
      <c r="B44" s="5" t="s">
        <v>121</v>
      </c>
      <c r="C44" s="5" t="s">
        <v>121</v>
      </c>
      <c r="D44" s="12">
        <v>10.0</v>
      </c>
      <c r="E44" s="5" t="s">
        <v>21</v>
      </c>
      <c r="F44" s="5">
        <v>1000000.0</v>
      </c>
      <c r="G44" s="5">
        <v>980000.0</v>
      </c>
      <c r="H44" s="5" t="s">
        <v>107</v>
      </c>
      <c r="I44" s="12">
        <v>10.0</v>
      </c>
      <c r="J44" s="5">
        <v>5.0</v>
      </c>
      <c r="K44" s="5">
        <v>5.0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18">
        <v>5812.0</v>
      </c>
      <c r="B45" s="5" t="s">
        <v>121</v>
      </c>
      <c r="C45" s="5" t="s">
        <v>121</v>
      </c>
      <c r="D45" s="12">
        <v>10.0</v>
      </c>
      <c r="E45" s="5" t="s">
        <v>21</v>
      </c>
      <c r="F45" s="5">
        <v>1000000.0</v>
      </c>
      <c r="G45" s="5">
        <v>980000.0</v>
      </c>
      <c r="H45" s="5" t="s">
        <v>122</v>
      </c>
      <c r="I45" s="12">
        <v>10.0</v>
      </c>
      <c r="J45" s="5">
        <v>5.0</v>
      </c>
      <c r="K45" s="5">
        <v>5.0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12" t="s">
        <v>34</v>
      </c>
      <c r="B46" s="5" t="s">
        <v>121</v>
      </c>
      <c r="C46" s="5" t="s">
        <v>121</v>
      </c>
      <c r="D46" s="12">
        <v>5.0</v>
      </c>
      <c r="E46" s="5" t="s">
        <v>21</v>
      </c>
      <c r="F46" s="5">
        <v>1000000.0</v>
      </c>
      <c r="G46" s="5">
        <v>980000.0</v>
      </c>
      <c r="H46" s="5" t="s">
        <v>123</v>
      </c>
      <c r="I46" s="12">
        <v>5.0</v>
      </c>
      <c r="J46" s="5">
        <v>2.0</v>
      </c>
      <c r="K46" s="5">
        <v>3.0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18">
        <v>5343.0</v>
      </c>
      <c r="B47" s="5" t="s">
        <v>121</v>
      </c>
      <c r="C47" s="5" t="s">
        <v>121</v>
      </c>
      <c r="D47" s="12">
        <v>10.0</v>
      </c>
      <c r="E47" s="5" t="s">
        <v>21</v>
      </c>
      <c r="F47" s="5">
        <v>1000000.0</v>
      </c>
      <c r="G47" s="5">
        <v>980000.0</v>
      </c>
      <c r="H47" s="5" t="s">
        <v>124</v>
      </c>
      <c r="I47" s="12">
        <v>10.0</v>
      </c>
      <c r="J47" s="5">
        <v>5.0</v>
      </c>
      <c r="K47" s="5">
        <v>5.0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18">
        <v>5911.0</v>
      </c>
      <c r="B48" s="5" t="s">
        <v>121</v>
      </c>
      <c r="C48" s="5" t="s">
        <v>121</v>
      </c>
      <c r="D48" s="12">
        <v>10.0</v>
      </c>
      <c r="E48" s="5" t="s">
        <v>21</v>
      </c>
      <c r="F48" s="5">
        <v>1000000.0</v>
      </c>
      <c r="G48" s="5">
        <v>980000.0</v>
      </c>
      <c r="H48" s="5" t="s">
        <v>125</v>
      </c>
      <c r="I48" s="12">
        <v>10.0</v>
      </c>
      <c r="J48" s="5">
        <v>5.0</v>
      </c>
      <c r="K48" s="5">
        <v>5.0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18">
        <v>5334.0</v>
      </c>
      <c r="B49" s="5" t="s">
        <v>121</v>
      </c>
      <c r="C49" s="5" t="s">
        <v>121</v>
      </c>
      <c r="D49" s="12">
        <v>10.0</v>
      </c>
      <c r="E49" s="5" t="s">
        <v>21</v>
      </c>
      <c r="F49" s="5">
        <v>1000000.0</v>
      </c>
      <c r="G49" s="5">
        <v>980000.0</v>
      </c>
      <c r="H49" s="5" t="s">
        <v>126</v>
      </c>
      <c r="I49" s="12">
        <v>10.0</v>
      </c>
      <c r="J49" s="5">
        <v>5.0</v>
      </c>
      <c r="K49" s="5">
        <v>5.0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18">
        <v>6411.0</v>
      </c>
      <c r="B50" s="5" t="s">
        <v>121</v>
      </c>
      <c r="C50" s="5" t="s">
        <v>121</v>
      </c>
      <c r="D50" s="12">
        <v>10.0</v>
      </c>
      <c r="E50" s="5" t="s">
        <v>21</v>
      </c>
      <c r="F50" s="5">
        <v>1000000.0</v>
      </c>
      <c r="G50" s="5">
        <v>980000.0</v>
      </c>
      <c r="H50" s="5" t="s">
        <v>127</v>
      </c>
      <c r="I50" s="12">
        <v>10.0</v>
      </c>
      <c r="J50" s="5">
        <v>5.0</v>
      </c>
      <c r="K50" s="5">
        <v>5.0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18">
        <v>5322.0</v>
      </c>
      <c r="B51" s="5" t="s">
        <v>121</v>
      </c>
      <c r="C51" s="5" t="s">
        <v>121</v>
      </c>
      <c r="D51" s="12">
        <v>10.0</v>
      </c>
      <c r="E51" s="5" t="s">
        <v>21</v>
      </c>
      <c r="F51" s="5">
        <v>1000000.0</v>
      </c>
      <c r="G51" s="5">
        <v>980000.0</v>
      </c>
      <c r="H51" s="5" t="s">
        <v>128</v>
      </c>
      <c r="I51" s="12">
        <v>10.0</v>
      </c>
      <c r="J51" s="5">
        <v>5.0</v>
      </c>
      <c r="K51" s="5">
        <v>5.0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18">
        <v>5101.0</v>
      </c>
      <c r="B52" s="5" t="s">
        <v>121</v>
      </c>
      <c r="C52" s="5" t="s">
        <v>121</v>
      </c>
      <c r="D52" s="12">
        <v>10.0</v>
      </c>
      <c r="E52" s="5" t="s">
        <v>21</v>
      </c>
      <c r="F52" s="5">
        <v>1000000.0</v>
      </c>
      <c r="G52" s="5">
        <v>980000.0</v>
      </c>
      <c r="H52" s="5" t="s">
        <v>129</v>
      </c>
      <c r="I52" s="12">
        <v>10.0</v>
      </c>
      <c r="J52" s="5">
        <v>5.0</v>
      </c>
      <c r="K52" s="5">
        <v>5.0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18">
        <v>5512.0</v>
      </c>
      <c r="B53" s="5" t="s">
        <v>121</v>
      </c>
      <c r="C53" s="5" t="s">
        <v>121</v>
      </c>
      <c r="D53" s="12">
        <v>10.0</v>
      </c>
      <c r="E53" s="5" t="s">
        <v>21</v>
      </c>
      <c r="F53" s="5">
        <v>1000000.0</v>
      </c>
      <c r="G53" s="5">
        <v>980000.0</v>
      </c>
      <c r="H53" s="5" t="s">
        <v>130</v>
      </c>
      <c r="I53" s="12">
        <v>10.0</v>
      </c>
      <c r="J53" s="5">
        <v>5.0</v>
      </c>
      <c r="K53" s="5">
        <v>5.0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12" t="s">
        <v>65</v>
      </c>
      <c r="B54" s="5" t="s">
        <v>121</v>
      </c>
      <c r="C54" s="5" t="s">
        <v>121</v>
      </c>
      <c r="D54" s="12">
        <v>10.0</v>
      </c>
      <c r="E54" s="5" t="s">
        <v>21</v>
      </c>
      <c r="F54" s="5">
        <v>1000000.0</v>
      </c>
      <c r="G54" s="5">
        <v>980000.0</v>
      </c>
      <c r="H54" s="5" t="s">
        <v>132</v>
      </c>
      <c r="I54" s="12">
        <v>10.0</v>
      </c>
      <c r="J54" s="5">
        <v>5.0</v>
      </c>
      <c r="K54" s="5">
        <v>5.0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18">
        <v>5519.0</v>
      </c>
      <c r="B55" s="5" t="s">
        <v>121</v>
      </c>
      <c r="C55" s="5" t="s">
        <v>121</v>
      </c>
      <c r="D55" s="12">
        <v>10.0</v>
      </c>
      <c r="E55" s="5" t="s">
        <v>21</v>
      </c>
      <c r="F55" s="5">
        <v>1000000.0</v>
      </c>
      <c r="G55" s="5">
        <v>980000.0</v>
      </c>
      <c r="H55" s="5" t="s">
        <v>133</v>
      </c>
      <c r="I55" s="12">
        <v>10.0</v>
      </c>
      <c r="J55" s="5">
        <v>5.0</v>
      </c>
      <c r="K55" s="5">
        <v>5.0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18">
        <v>5520.0</v>
      </c>
      <c r="B56" s="5" t="s">
        <v>121</v>
      </c>
      <c r="C56" s="5" t="s">
        <v>121</v>
      </c>
      <c r="D56" s="12">
        <v>10.0</v>
      </c>
      <c r="E56" s="5" t="s">
        <v>21</v>
      </c>
      <c r="F56" s="5">
        <v>1000000.0</v>
      </c>
      <c r="G56" s="5">
        <v>980000.0</v>
      </c>
      <c r="H56" s="5" t="s">
        <v>134</v>
      </c>
      <c r="I56" s="12">
        <v>10.0</v>
      </c>
      <c r="J56" s="5">
        <v>5.0</v>
      </c>
      <c r="K56" s="5">
        <v>5.0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18">
        <v>6421.0</v>
      </c>
      <c r="B57" s="5" t="s">
        <v>121</v>
      </c>
      <c r="C57" s="5" t="s">
        <v>121</v>
      </c>
      <c r="D57" s="12">
        <v>10.0</v>
      </c>
      <c r="E57" s="5" t="s">
        <v>21</v>
      </c>
      <c r="F57" s="5">
        <v>1000000.0</v>
      </c>
      <c r="G57" s="5">
        <v>980000.0</v>
      </c>
      <c r="H57" s="5" t="s">
        <v>135</v>
      </c>
      <c r="I57" s="12">
        <v>10.0</v>
      </c>
      <c r="J57" s="5">
        <v>5.0</v>
      </c>
      <c r="K57" s="5">
        <v>5.0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18">
        <v>5521.0</v>
      </c>
      <c r="B58" s="5" t="s">
        <v>121</v>
      </c>
      <c r="C58" s="5" t="s">
        <v>121</v>
      </c>
      <c r="D58" s="12">
        <v>10.0</v>
      </c>
      <c r="E58" s="5" t="s">
        <v>21</v>
      </c>
      <c r="F58" s="5">
        <v>1000000.0</v>
      </c>
      <c r="G58" s="5">
        <v>980000.0</v>
      </c>
      <c r="H58" s="5" t="s">
        <v>137</v>
      </c>
      <c r="I58" s="12">
        <v>10.0</v>
      </c>
      <c r="J58" s="5">
        <v>5.0</v>
      </c>
      <c r="K58" s="5">
        <v>5.0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18">
        <v>5351.0</v>
      </c>
      <c r="B59" s="5" t="s">
        <v>121</v>
      </c>
      <c r="C59" s="5" t="s">
        <v>121</v>
      </c>
      <c r="D59" s="12">
        <v>10.0</v>
      </c>
      <c r="E59" s="5" t="s">
        <v>21</v>
      </c>
      <c r="F59" s="5">
        <v>1000000.0</v>
      </c>
      <c r="G59" s="5">
        <v>980000.0</v>
      </c>
      <c r="H59" s="5" t="s">
        <v>139</v>
      </c>
      <c r="I59" s="12">
        <v>10.0</v>
      </c>
      <c r="J59" s="5">
        <v>5.0</v>
      </c>
      <c r="K59" s="5">
        <v>5.0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18" t="s">
        <v>27</v>
      </c>
      <c r="B60" s="5" t="s">
        <v>140</v>
      </c>
      <c r="C60" s="5" t="s">
        <v>140</v>
      </c>
      <c r="D60" s="18">
        <v>5.0</v>
      </c>
      <c r="E60" s="5" t="s">
        <v>21</v>
      </c>
      <c r="F60" s="5">
        <v>1500000.0</v>
      </c>
      <c r="G60" s="5">
        <v>750000.0</v>
      </c>
      <c r="H60" s="5" t="s">
        <v>139</v>
      </c>
      <c r="I60" s="18">
        <v>5.0</v>
      </c>
      <c r="J60" s="5">
        <v>2.0</v>
      </c>
      <c r="K60" s="5">
        <v>3.0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18" t="s">
        <v>45</v>
      </c>
      <c r="B61" s="5" t="s">
        <v>140</v>
      </c>
      <c r="C61" s="5" t="s">
        <v>140</v>
      </c>
      <c r="D61" s="18">
        <v>5.0</v>
      </c>
      <c r="E61" s="5" t="s">
        <v>21</v>
      </c>
      <c r="F61" s="5">
        <v>1500000.0</v>
      </c>
      <c r="G61" s="5">
        <v>750000.0</v>
      </c>
      <c r="H61" s="5" t="s">
        <v>141</v>
      </c>
      <c r="I61" s="18">
        <v>5.0</v>
      </c>
      <c r="J61" s="5">
        <v>2.0</v>
      </c>
      <c r="K61" s="5">
        <v>3.0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18" t="s">
        <v>48</v>
      </c>
      <c r="B62" s="5" t="s">
        <v>140</v>
      </c>
      <c r="C62" s="5" t="s">
        <v>140</v>
      </c>
      <c r="D62" s="18">
        <v>5.0</v>
      </c>
      <c r="E62" s="5" t="s">
        <v>21</v>
      </c>
      <c r="F62" s="5">
        <v>1500000.0</v>
      </c>
      <c r="G62" s="5">
        <v>750000.0</v>
      </c>
      <c r="H62" s="5" t="s">
        <v>144</v>
      </c>
      <c r="I62" s="18">
        <v>5.0</v>
      </c>
      <c r="J62" s="5">
        <v>2.0</v>
      </c>
      <c r="K62" s="5">
        <v>3.0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18" t="s">
        <v>52</v>
      </c>
      <c r="B63" s="5" t="s">
        <v>140</v>
      </c>
      <c r="C63" s="5" t="s">
        <v>140</v>
      </c>
      <c r="D63" s="18">
        <v>5.0</v>
      </c>
      <c r="E63" s="5" t="s">
        <v>21</v>
      </c>
      <c r="F63" s="5">
        <v>1500000.0</v>
      </c>
      <c r="G63" s="5">
        <v>750000.0</v>
      </c>
      <c r="H63" s="5" t="s">
        <v>147</v>
      </c>
      <c r="I63" s="18">
        <v>5.0</v>
      </c>
      <c r="J63" s="5">
        <v>2.0</v>
      </c>
      <c r="K63" s="5">
        <v>3.0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18" t="s">
        <v>55</v>
      </c>
      <c r="B64" s="5" t="s">
        <v>140</v>
      </c>
      <c r="C64" s="5" t="s">
        <v>140</v>
      </c>
      <c r="D64" s="18">
        <v>5.0</v>
      </c>
      <c r="E64" s="5" t="s">
        <v>21</v>
      </c>
      <c r="F64" s="5">
        <v>1500000.0</v>
      </c>
      <c r="G64" s="5">
        <v>750000.0</v>
      </c>
      <c r="H64" s="5" t="s">
        <v>149</v>
      </c>
      <c r="I64" s="18">
        <v>5.0</v>
      </c>
      <c r="J64" s="5">
        <v>2.0</v>
      </c>
      <c r="K64" s="5">
        <v>3.0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18" t="s">
        <v>58</v>
      </c>
      <c r="B65" s="5" t="s">
        <v>140</v>
      </c>
      <c r="C65" s="5" t="s">
        <v>140</v>
      </c>
      <c r="D65" s="18">
        <v>5.0</v>
      </c>
      <c r="E65" s="5" t="s">
        <v>21</v>
      </c>
      <c r="F65" s="5">
        <v>1500000.0</v>
      </c>
      <c r="G65" s="5">
        <v>750000.0</v>
      </c>
      <c r="H65" s="5" t="s">
        <v>153</v>
      </c>
      <c r="I65" s="18">
        <v>5.0</v>
      </c>
      <c r="J65" s="5">
        <v>2.0</v>
      </c>
      <c r="K65" s="5">
        <v>3.0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18" t="s">
        <v>61</v>
      </c>
      <c r="B66" s="5" t="s">
        <v>140</v>
      </c>
      <c r="C66" s="5" t="s">
        <v>140</v>
      </c>
      <c r="D66" s="18">
        <v>6.0</v>
      </c>
      <c r="E66" s="5" t="s">
        <v>21</v>
      </c>
      <c r="F66" s="5">
        <v>1500000.0</v>
      </c>
      <c r="G66" s="5">
        <v>750000.0</v>
      </c>
      <c r="H66" s="5" t="s">
        <v>155</v>
      </c>
      <c r="I66" s="18">
        <v>6.0</v>
      </c>
      <c r="J66" s="5">
        <v>3.0</v>
      </c>
      <c r="K66" s="5">
        <v>3.0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18" t="s">
        <v>63</v>
      </c>
      <c r="B67" s="5" t="s">
        <v>140</v>
      </c>
      <c r="C67" s="5" t="s">
        <v>140</v>
      </c>
      <c r="D67" s="18">
        <v>6.0</v>
      </c>
      <c r="E67" s="5" t="s">
        <v>21</v>
      </c>
      <c r="F67" s="5">
        <v>1500000.0</v>
      </c>
      <c r="G67" s="5">
        <v>750000.0</v>
      </c>
      <c r="H67" s="5" t="s">
        <v>156</v>
      </c>
      <c r="I67" s="18">
        <v>6.0</v>
      </c>
      <c r="J67" s="5">
        <v>3.0</v>
      </c>
      <c r="K67" s="5">
        <v>3.0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18" t="s">
        <v>66</v>
      </c>
      <c r="B68" s="5" t="s">
        <v>140</v>
      </c>
      <c r="C68" s="5" t="s">
        <v>140</v>
      </c>
      <c r="D68" s="18">
        <v>6.0</v>
      </c>
      <c r="E68" s="5" t="s">
        <v>21</v>
      </c>
      <c r="F68" s="5">
        <v>1500000.0</v>
      </c>
      <c r="G68" s="5">
        <v>750000.0</v>
      </c>
      <c r="H68" s="5" t="s">
        <v>158</v>
      </c>
      <c r="I68" s="18">
        <v>6.0</v>
      </c>
      <c r="J68" s="5">
        <v>3.0</v>
      </c>
      <c r="K68" s="5">
        <v>3.0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18" t="s">
        <v>69</v>
      </c>
      <c r="B69" s="5" t="s">
        <v>140</v>
      </c>
      <c r="C69" s="5" t="s">
        <v>140</v>
      </c>
      <c r="D69" s="18">
        <v>6.0</v>
      </c>
      <c r="E69" s="5" t="s">
        <v>21</v>
      </c>
      <c r="F69" s="5">
        <v>1500000.0</v>
      </c>
      <c r="G69" s="5">
        <v>750000.0</v>
      </c>
      <c r="H69" s="5" t="s">
        <v>161</v>
      </c>
      <c r="I69" s="18">
        <v>6.0</v>
      </c>
      <c r="J69" s="5">
        <v>3.0</v>
      </c>
      <c r="K69" s="5">
        <v>3.0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18" t="s">
        <v>71</v>
      </c>
      <c r="B70" s="5" t="s">
        <v>140</v>
      </c>
      <c r="C70" s="5" t="s">
        <v>140</v>
      </c>
      <c r="D70" s="18">
        <v>5.0</v>
      </c>
      <c r="E70" s="5" t="s">
        <v>21</v>
      </c>
      <c r="F70" s="5">
        <v>1500000.0</v>
      </c>
      <c r="G70" s="5">
        <v>750000.0</v>
      </c>
      <c r="H70" s="5" t="s">
        <v>164</v>
      </c>
      <c r="I70" s="18">
        <v>5.0</v>
      </c>
      <c r="J70" s="5">
        <v>2.0</v>
      </c>
      <c r="K70" s="5">
        <v>3.0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18" t="s">
        <v>74</v>
      </c>
      <c r="B71" s="5" t="s">
        <v>140</v>
      </c>
      <c r="C71" s="5" t="s">
        <v>140</v>
      </c>
      <c r="D71" s="18">
        <v>5.0</v>
      </c>
      <c r="E71" s="5" t="s">
        <v>21</v>
      </c>
      <c r="F71" s="5">
        <v>1500000.0</v>
      </c>
      <c r="G71" s="5">
        <v>750000.0</v>
      </c>
      <c r="H71" s="5" t="s">
        <v>165</v>
      </c>
      <c r="I71" s="18">
        <v>5.0</v>
      </c>
      <c r="J71" s="5">
        <v>2.0</v>
      </c>
      <c r="K71" s="5">
        <v>3.0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18" t="s">
        <v>75</v>
      </c>
      <c r="B72" s="5" t="s">
        <v>140</v>
      </c>
      <c r="C72" s="5" t="s">
        <v>140</v>
      </c>
      <c r="D72" s="18">
        <v>6.0</v>
      </c>
      <c r="E72" s="5" t="s">
        <v>21</v>
      </c>
      <c r="F72" s="5">
        <v>1500000.0</v>
      </c>
      <c r="G72" s="5">
        <v>750000.0</v>
      </c>
      <c r="H72" s="5" t="s">
        <v>166</v>
      </c>
      <c r="I72" s="18">
        <v>6.0</v>
      </c>
      <c r="J72" s="5">
        <v>3.0</v>
      </c>
      <c r="K72" s="5">
        <v>3.0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18" t="s">
        <v>78</v>
      </c>
      <c r="B73" s="5" t="s">
        <v>140</v>
      </c>
      <c r="C73" s="5" t="s">
        <v>140</v>
      </c>
      <c r="D73" s="18">
        <v>6.0</v>
      </c>
      <c r="E73" s="5" t="s">
        <v>21</v>
      </c>
      <c r="F73" s="5">
        <v>1500000.0</v>
      </c>
      <c r="G73" s="5">
        <v>750000.0</v>
      </c>
      <c r="H73" s="5" t="s">
        <v>167</v>
      </c>
      <c r="I73" s="18">
        <v>6.0</v>
      </c>
      <c r="J73" s="5">
        <v>3.0</v>
      </c>
      <c r="K73" s="5">
        <v>3.0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18" t="s">
        <v>79</v>
      </c>
      <c r="B74" s="5" t="s">
        <v>140</v>
      </c>
      <c r="C74" s="5" t="s">
        <v>140</v>
      </c>
      <c r="D74" s="18">
        <v>6.0</v>
      </c>
      <c r="E74" s="5" t="s">
        <v>21</v>
      </c>
      <c r="F74" s="5">
        <v>1500000.0</v>
      </c>
      <c r="G74" s="5">
        <v>750000.0</v>
      </c>
      <c r="H74" s="5" t="s">
        <v>168</v>
      </c>
      <c r="I74" s="18">
        <v>6.0</v>
      </c>
      <c r="J74" s="5">
        <v>3.0</v>
      </c>
      <c r="K74" s="5">
        <v>3.0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18" t="s">
        <v>81</v>
      </c>
      <c r="B75" s="5" t="s">
        <v>140</v>
      </c>
      <c r="C75" s="5" t="s">
        <v>140</v>
      </c>
      <c r="D75" s="18">
        <v>6.0</v>
      </c>
      <c r="E75" s="5" t="s">
        <v>21</v>
      </c>
      <c r="F75" s="5">
        <v>1500000.0</v>
      </c>
      <c r="G75" s="5">
        <v>750000.0</v>
      </c>
      <c r="H75" s="5" t="s">
        <v>169</v>
      </c>
      <c r="I75" s="18">
        <v>6.0</v>
      </c>
      <c r="J75" s="5">
        <v>3.0</v>
      </c>
      <c r="K75" s="5">
        <v>3.0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18" t="s">
        <v>83</v>
      </c>
      <c r="B76" s="5" t="s">
        <v>140</v>
      </c>
      <c r="C76" s="5" t="s">
        <v>140</v>
      </c>
      <c r="D76" s="18">
        <v>5.0</v>
      </c>
      <c r="E76" s="5" t="s">
        <v>21</v>
      </c>
      <c r="F76" s="5">
        <v>1500000.0</v>
      </c>
      <c r="G76" s="5">
        <v>750000.0</v>
      </c>
      <c r="H76" s="5" t="s">
        <v>170</v>
      </c>
      <c r="I76" s="18">
        <v>5.0</v>
      </c>
      <c r="J76" s="5">
        <v>2.0</v>
      </c>
      <c r="K76" s="5">
        <v>3.0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18" t="s">
        <v>85</v>
      </c>
      <c r="B77" s="5" t="s">
        <v>140</v>
      </c>
      <c r="C77" s="5" t="s">
        <v>140</v>
      </c>
      <c r="D77" s="18">
        <v>6.0</v>
      </c>
      <c r="E77" s="5" t="s">
        <v>21</v>
      </c>
      <c r="F77" s="5">
        <v>1500000.0</v>
      </c>
      <c r="G77" s="5">
        <v>750000.0</v>
      </c>
      <c r="H77" s="5" t="s">
        <v>171</v>
      </c>
      <c r="I77" s="18">
        <v>6.0</v>
      </c>
      <c r="J77" s="5">
        <v>3.0</v>
      </c>
      <c r="K77" s="5">
        <v>3.0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18" t="s">
        <v>87</v>
      </c>
      <c r="B78" s="5" t="s">
        <v>140</v>
      </c>
      <c r="C78" s="5" t="s">
        <v>140</v>
      </c>
      <c r="D78" s="18">
        <v>6.0</v>
      </c>
      <c r="E78" s="5" t="s">
        <v>21</v>
      </c>
      <c r="F78" s="5">
        <v>1500000.0</v>
      </c>
      <c r="G78" s="5">
        <v>750000.0</v>
      </c>
      <c r="H78" s="5" t="s">
        <v>172</v>
      </c>
      <c r="I78" s="18">
        <v>6.0</v>
      </c>
      <c r="J78" s="5">
        <v>3.0</v>
      </c>
      <c r="K78" s="5">
        <v>3.0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18" t="s">
        <v>90</v>
      </c>
      <c r="B79" s="5" t="s">
        <v>140</v>
      </c>
      <c r="C79" s="5" t="s">
        <v>140</v>
      </c>
      <c r="D79" s="18">
        <v>10.0</v>
      </c>
      <c r="E79" s="5" t="s">
        <v>21</v>
      </c>
      <c r="F79" s="5">
        <v>1500000.0</v>
      </c>
      <c r="G79" s="5">
        <v>750000.0</v>
      </c>
      <c r="H79" s="5" t="s">
        <v>173</v>
      </c>
      <c r="I79" s="18">
        <v>10.0</v>
      </c>
      <c r="J79" s="5">
        <v>5.0</v>
      </c>
      <c r="K79" s="5">
        <v>5.0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18" t="s">
        <v>93</v>
      </c>
      <c r="B80" s="5" t="s">
        <v>140</v>
      </c>
      <c r="C80" s="5" t="s">
        <v>140</v>
      </c>
      <c r="D80" s="18">
        <v>10.0</v>
      </c>
      <c r="E80" s="5" t="s">
        <v>21</v>
      </c>
      <c r="F80" s="5">
        <v>1500000.0</v>
      </c>
      <c r="G80" s="5">
        <v>750000.0</v>
      </c>
      <c r="H80" s="5" t="s">
        <v>174</v>
      </c>
      <c r="I80" s="18">
        <v>10.0</v>
      </c>
      <c r="J80" s="5">
        <v>5.0</v>
      </c>
      <c r="K80" s="5">
        <v>5.0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18" t="s">
        <v>95</v>
      </c>
      <c r="B81" s="5" t="s">
        <v>140</v>
      </c>
      <c r="C81" s="5" t="s">
        <v>140</v>
      </c>
      <c r="D81" s="18">
        <v>10.0</v>
      </c>
      <c r="E81" s="5" t="s">
        <v>21</v>
      </c>
      <c r="F81" s="5">
        <v>1500000.0</v>
      </c>
      <c r="G81" s="5">
        <v>750000.0</v>
      </c>
      <c r="H81" s="5" t="s">
        <v>175</v>
      </c>
      <c r="I81" s="18">
        <v>10.0</v>
      </c>
      <c r="J81" s="5">
        <v>5.0</v>
      </c>
      <c r="K81" s="5">
        <v>5.0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18" t="s">
        <v>97</v>
      </c>
      <c r="B82" s="5" t="s">
        <v>140</v>
      </c>
      <c r="C82" s="5" t="s">
        <v>140</v>
      </c>
      <c r="D82" s="18">
        <v>10.0</v>
      </c>
      <c r="E82" s="5" t="s">
        <v>21</v>
      </c>
      <c r="F82" s="5">
        <v>1500000.0</v>
      </c>
      <c r="G82" s="5">
        <v>750000.0</v>
      </c>
      <c r="H82" s="5" t="s">
        <v>176</v>
      </c>
      <c r="I82" s="18">
        <v>10.0</v>
      </c>
      <c r="J82" s="5">
        <v>5.0</v>
      </c>
      <c r="K82" s="5">
        <v>5.0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18" t="s">
        <v>99</v>
      </c>
      <c r="B83" s="5" t="s">
        <v>140</v>
      </c>
      <c r="C83" s="5" t="s">
        <v>140</v>
      </c>
      <c r="D83" s="18">
        <v>10.0</v>
      </c>
      <c r="E83" s="5" t="s">
        <v>21</v>
      </c>
      <c r="F83" s="5">
        <v>1500000.0</v>
      </c>
      <c r="G83" s="5">
        <v>750000.0</v>
      </c>
      <c r="H83" s="5" t="s">
        <v>177</v>
      </c>
      <c r="I83" s="18">
        <v>10.0</v>
      </c>
      <c r="J83" s="5">
        <v>5.0</v>
      </c>
      <c r="K83" s="5">
        <v>5.0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18" t="s">
        <v>102</v>
      </c>
      <c r="B84" s="5" t="s">
        <v>140</v>
      </c>
      <c r="C84" s="5" t="s">
        <v>140</v>
      </c>
      <c r="D84" s="18">
        <v>10.0</v>
      </c>
      <c r="E84" s="5" t="s">
        <v>21</v>
      </c>
      <c r="F84" s="5">
        <v>1500000.0</v>
      </c>
      <c r="G84" s="5">
        <v>750000.0</v>
      </c>
      <c r="H84" s="5" t="s">
        <v>178</v>
      </c>
      <c r="I84" s="18">
        <v>10.0</v>
      </c>
      <c r="J84" s="5">
        <v>5.0</v>
      </c>
      <c r="K84" s="5">
        <v>5.0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18" t="s">
        <v>105</v>
      </c>
      <c r="B85" s="5" t="s">
        <v>140</v>
      </c>
      <c r="C85" s="5" t="s">
        <v>140</v>
      </c>
      <c r="D85" s="18">
        <v>10.0</v>
      </c>
      <c r="E85" s="5" t="s">
        <v>21</v>
      </c>
      <c r="F85" s="5">
        <v>1500000.0</v>
      </c>
      <c r="G85" s="5">
        <v>750000.0</v>
      </c>
      <c r="H85" s="5" t="s">
        <v>179</v>
      </c>
      <c r="I85" s="18">
        <v>10.0</v>
      </c>
      <c r="J85" s="5">
        <v>5.0</v>
      </c>
      <c r="K85" s="5">
        <v>5.0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18" t="s">
        <v>108</v>
      </c>
      <c r="B86" s="5" t="s">
        <v>140</v>
      </c>
      <c r="C86" s="5" t="s">
        <v>140</v>
      </c>
      <c r="D86" s="18">
        <v>10.0</v>
      </c>
      <c r="E86" s="5" t="s">
        <v>21</v>
      </c>
      <c r="F86" s="5">
        <v>1500000.0</v>
      </c>
      <c r="G86" s="5">
        <v>750000.0</v>
      </c>
      <c r="H86" s="5" t="s">
        <v>180</v>
      </c>
      <c r="I86" s="18">
        <v>10.0</v>
      </c>
      <c r="J86" s="5">
        <v>5.0</v>
      </c>
      <c r="K86" s="5">
        <v>5.0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18" t="s">
        <v>110</v>
      </c>
      <c r="B87" s="5" t="s">
        <v>140</v>
      </c>
      <c r="C87" s="5" t="s">
        <v>140</v>
      </c>
      <c r="D87" s="18">
        <v>10.0</v>
      </c>
      <c r="E87" s="5" t="s">
        <v>21</v>
      </c>
      <c r="F87" s="5">
        <v>1500000.0</v>
      </c>
      <c r="G87" s="5">
        <v>750000.0</v>
      </c>
      <c r="H87" s="5" t="s">
        <v>181</v>
      </c>
      <c r="I87" s="18">
        <v>10.0</v>
      </c>
      <c r="J87" s="5">
        <v>5.0</v>
      </c>
      <c r="K87" s="5">
        <v>5.0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18" t="s">
        <v>111</v>
      </c>
      <c r="B88" s="5" t="s">
        <v>140</v>
      </c>
      <c r="C88" s="5" t="s">
        <v>140</v>
      </c>
      <c r="D88" s="18">
        <v>10.0</v>
      </c>
      <c r="E88" s="5" t="s">
        <v>21</v>
      </c>
      <c r="F88" s="5">
        <v>1500000.0</v>
      </c>
      <c r="G88" s="5">
        <v>750000.0</v>
      </c>
      <c r="H88" s="5" t="s">
        <v>182</v>
      </c>
      <c r="I88" s="18">
        <v>10.0</v>
      </c>
      <c r="J88" s="5">
        <v>5.0</v>
      </c>
      <c r="K88" s="5">
        <v>5.0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18" t="s">
        <v>112</v>
      </c>
      <c r="B89" s="5" t="s">
        <v>140</v>
      </c>
      <c r="C89" s="5" t="s">
        <v>140</v>
      </c>
      <c r="D89" s="18">
        <v>10.0</v>
      </c>
      <c r="E89" s="5" t="s">
        <v>21</v>
      </c>
      <c r="F89" s="5">
        <v>1500000.0</v>
      </c>
      <c r="G89" s="5">
        <v>750000.0</v>
      </c>
      <c r="H89" s="5" t="s">
        <v>183</v>
      </c>
      <c r="I89" s="18">
        <v>10.0</v>
      </c>
      <c r="J89" s="5">
        <v>5.0</v>
      </c>
      <c r="K89" s="5">
        <v>5.0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18" t="s">
        <v>113</v>
      </c>
      <c r="B90" s="5" t="s">
        <v>140</v>
      </c>
      <c r="C90" s="5" t="s">
        <v>140</v>
      </c>
      <c r="D90" s="18">
        <v>10.0</v>
      </c>
      <c r="E90" s="5" t="s">
        <v>21</v>
      </c>
      <c r="F90" s="5">
        <v>1500000.0</v>
      </c>
      <c r="G90" s="5">
        <v>750000.0</v>
      </c>
      <c r="H90" s="5" t="s">
        <v>184</v>
      </c>
      <c r="I90" s="18">
        <v>10.0</v>
      </c>
      <c r="J90" s="5">
        <v>5.0</v>
      </c>
      <c r="K90" s="5">
        <v>5.0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18" t="s">
        <v>114</v>
      </c>
      <c r="B91" s="5" t="s">
        <v>140</v>
      </c>
      <c r="C91" s="5" t="s">
        <v>140</v>
      </c>
      <c r="D91" s="18">
        <v>10.0</v>
      </c>
      <c r="E91" s="5" t="s">
        <v>21</v>
      </c>
      <c r="F91" s="5">
        <v>1500000.0</v>
      </c>
      <c r="G91" s="5">
        <v>750000.0</v>
      </c>
      <c r="H91" s="5" t="s">
        <v>185</v>
      </c>
      <c r="I91" s="18">
        <v>10.0</v>
      </c>
      <c r="J91" s="5">
        <v>5.0</v>
      </c>
      <c r="K91" s="5">
        <v>5.0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18" t="s">
        <v>115</v>
      </c>
      <c r="B92" s="5" t="s">
        <v>140</v>
      </c>
      <c r="C92" s="5" t="s">
        <v>140</v>
      </c>
      <c r="D92" s="18">
        <v>10.0</v>
      </c>
      <c r="E92" s="5" t="s">
        <v>21</v>
      </c>
      <c r="F92" s="5">
        <v>1500000.0</v>
      </c>
      <c r="G92" s="5">
        <v>750000.0</v>
      </c>
      <c r="H92" s="5" t="s">
        <v>186</v>
      </c>
      <c r="I92" s="18">
        <v>10.0</v>
      </c>
      <c r="J92" s="5">
        <v>5.0</v>
      </c>
      <c r="K92" s="5">
        <v>5.0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18" t="s">
        <v>116</v>
      </c>
      <c r="B93" s="5" t="s">
        <v>140</v>
      </c>
      <c r="C93" s="5" t="s">
        <v>140</v>
      </c>
      <c r="D93" s="18">
        <v>10.0</v>
      </c>
      <c r="E93" s="5" t="s">
        <v>21</v>
      </c>
      <c r="F93" s="5">
        <v>1500000.0</v>
      </c>
      <c r="G93" s="5">
        <v>750000.0</v>
      </c>
      <c r="H93" s="5" t="s">
        <v>187</v>
      </c>
      <c r="I93" s="18">
        <v>10.0</v>
      </c>
      <c r="J93" s="5">
        <v>5.0</v>
      </c>
      <c r="K93" s="5">
        <v>5.0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18" t="s">
        <v>117</v>
      </c>
      <c r="B94" s="5" t="s">
        <v>140</v>
      </c>
      <c r="C94" s="5" t="s">
        <v>140</v>
      </c>
      <c r="D94" s="18">
        <v>10.0</v>
      </c>
      <c r="E94" s="5" t="s">
        <v>21</v>
      </c>
      <c r="F94" s="5">
        <v>1500000.0</v>
      </c>
      <c r="G94" s="5">
        <v>750000.0</v>
      </c>
      <c r="H94" s="5" t="s">
        <v>188</v>
      </c>
      <c r="I94" s="18">
        <v>10.0</v>
      </c>
      <c r="J94" s="5">
        <v>5.0</v>
      </c>
      <c r="K94" s="5">
        <v>5.0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28" t="s">
        <v>138</v>
      </c>
      <c r="B95" s="28" t="s">
        <v>138</v>
      </c>
      <c r="C95" s="5" t="s">
        <v>189</v>
      </c>
      <c r="D95" s="5">
        <v>50.0</v>
      </c>
      <c r="E95" s="5" t="s">
        <v>21</v>
      </c>
      <c r="F95" s="5">
        <v>1200000.0</v>
      </c>
      <c r="G95" s="5">
        <v>750000.0</v>
      </c>
      <c r="H95" s="5" t="s">
        <v>186</v>
      </c>
      <c r="I95" s="5">
        <v>50.0</v>
      </c>
      <c r="J95" s="5">
        <v>25.0</v>
      </c>
      <c r="K95" s="5">
        <v>25.0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28" t="s">
        <v>143</v>
      </c>
      <c r="B96" s="28" t="s">
        <v>143</v>
      </c>
      <c r="C96" s="5" t="s">
        <v>189</v>
      </c>
      <c r="D96" s="5">
        <v>50.0</v>
      </c>
      <c r="E96" s="5" t="s">
        <v>21</v>
      </c>
      <c r="F96" s="5">
        <v>1200000.0</v>
      </c>
      <c r="G96" s="5">
        <v>750000.0</v>
      </c>
      <c r="H96" s="5" t="s">
        <v>187</v>
      </c>
      <c r="I96" s="5">
        <v>50.0</v>
      </c>
      <c r="J96" s="5">
        <v>25.0</v>
      </c>
      <c r="K96" s="5">
        <v>25.0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28" t="s">
        <v>146</v>
      </c>
      <c r="B97" s="28" t="s">
        <v>146</v>
      </c>
      <c r="C97" s="5" t="s">
        <v>189</v>
      </c>
      <c r="D97" s="5">
        <v>50.0</v>
      </c>
      <c r="E97" s="5" t="s">
        <v>21</v>
      </c>
      <c r="F97" s="5">
        <v>1200000.0</v>
      </c>
      <c r="G97" s="5">
        <v>750000.0</v>
      </c>
      <c r="H97" s="5" t="s">
        <v>188</v>
      </c>
      <c r="I97" s="5">
        <v>50.0</v>
      </c>
      <c r="J97" s="5">
        <v>25.0</v>
      </c>
      <c r="K97" s="5">
        <v>25.0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29" t="s">
        <v>150</v>
      </c>
      <c r="B98" s="29" t="s">
        <v>150</v>
      </c>
      <c r="C98" s="5" t="s">
        <v>189</v>
      </c>
      <c r="D98" s="5">
        <v>50.0</v>
      </c>
      <c r="E98" s="5" t="s">
        <v>21</v>
      </c>
      <c r="F98" s="5">
        <v>1200000.0</v>
      </c>
      <c r="G98" s="5">
        <v>750000.0</v>
      </c>
      <c r="H98" s="5" t="s">
        <v>190</v>
      </c>
      <c r="I98" s="5">
        <v>50.0</v>
      </c>
      <c r="J98" s="5">
        <v>25.0</v>
      </c>
      <c r="K98" s="5">
        <v>25.0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28" t="s">
        <v>151</v>
      </c>
      <c r="B99" s="28" t="s">
        <v>151</v>
      </c>
      <c r="C99" s="5" t="s">
        <v>189</v>
      </c>
      <c r="D99" s="5">
        <v>50.0</v>
      </c>
      <c r="E99" s="5" t="s">
        <v>21</v>
      </c>
      <c r="F99" s="5">
        <v>1200000.0</v>
      </c>
      <c r="G99" s="5">
        <v>750000.0</v>
      </c>
      <c r="H99" s="5" t="s">
        <v>191</v>
      </c>
      <c r="I99" s="5">
        <v>50.0</v>
      </c>
      <c r="J99" s="5">
        <v>25.0</v>
      </c>
      <c r="K99" s="5">
        <v>25.0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28" t="s">
        <v>154</v>
      </c>
      <c r="B100" s="28" t="s">
        <v>154</v>
      </c>
      <c r="C100" s="5" t="s">
        <v>189</v>
      </c>
      <c r="D100" s="5">
        <v>50.0</v>
      </c>
      <c r="E100" s="5" t="s">
        <v>21</v>
      </c>
      <c r="F100" s="5">
        <v>1200000.0</v>
      </c>
      <c r="G100" s="5">
        <v>750000.0</v>
      </c>
      <c r="H100" s="5" t="s">
        <v>192</v>
      </c>
      <c r="I100" s="5">
        <v>50.0</v>
      </c>
      <c r="J100" s="5">
        <v>25.0</v>
      </c>
      <c r="K100" s="5">
        <v>25.0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28" t="s">
        <v>159</v>
      </c>
      <c r="B101" s="28" t="s">
        <v>159</v>
      </c>
      <c r="C101" s="5" t="s">
        <v>189</v>
      </c>
      <c r="D101" s="5">
        <v>50.0</v>
      </c>
      <c r="E101" s="5" t="s">
        <v>21</v>
      </c>
      <c r="F101" s="5">
        <v>1200000.0</v>
      </c>
      <c r="G101" s="5">
        <v>750000.0</v>
      </c>
      <c r="H101" s="5" t="s">
        <v>193</v>
      </c>
      <c r="I101" s="5">
        <v>50.0</v>
      </c>
      <c r="J101" s="5">
        <v>25.0</v>
      </c>
      <c r="K101" s="5">
        <v>25.0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28" t="s">
        <v>162</v>
      </c>
      <c r="B102" s="28" t="s">
        <v>162</v>
      </c>
      <c r="C102" s="5" t="s">
        <v>189</v>
      </c>
      <c r="D102" s="5">
        <v>50.0</v>
      </c>
      <c r="E102" s="5" t="s">
        <v>21</v>
      </c>
      <c r="F102" s="5">
        <v>1200000.0</v>
      </c>
      <c r="G102" s="5">
        <v>750000.0</v>
      </c>
      <c r="H102" s="5" t="s">
        <v>194</v>
      </c>
      <c r="I102" s="5">
        <v>50.0</v>
      </c>
      <c r="J102" s="5">
        <v>25.0</v>
      </c>
      <c r="K102" s="5">
        <v>25.0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28" t="s">
        <v>163</v>
      </c>
      <c r="B103" s="28" t="s">
        <v>163</v>
      </c>
      <c r="C103" s="5" t="s">
        <v>189</v>
      </c>
      <c r="D103" s="5">
        <v>50.0</v>
      </c>
      <c r="E103" s="5" t="s">
        <v>21</v>
      </c>
      <c r="F103" s="5">
        <v>1200000.0</v>
      </c>
      <c r="G103" s="5">
        <v>750000.0</v>
      </c>
      <c r="H103" s="5" t="s">
        <v>195</v>
      </c>
      <c r="I103" s="5">
        <v>50.0</v>
      </c>
      <c r="J103" s="5">
        <v>25.0</v>
      </c>
      <c r="K103" s="5">
        <v>25.0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29"/>
    <col customWidth="1" min="3" max="26" width="10.71"/>
  </cols>
  <sheetData>
    <row r="1">
      <c r="A1" s="2" t="s">
        <v>2</v>
      </c>
      <c r="B1" s="4"/>
      <c r="C1" s="4"/>
      <c r="D1" s="4"/>
      <c r="E1" s="4"/>
      <c r="F1" s="6"/>
    </row>
    <row r="2">
      <c r="A2" s="7" t="s">
        <v>10</v>
      </c>
      <c r="B2" s="7" t="s">
        <v>13</v>
      </c>
      <c r="C2" s="9" t="s">
        <v>15</v>
      </c>
      <c r="D2" s="9" t="s">
        <v>5</v>
      </c>
      <c r="E2" s="7" t="s">
        <v>16</v>
      </c>
      <c r="F2" s="10" t="s">
        <v>17</v>
      </c>
    </row>
    <row r="3">
      <c r="A3" s="11">
        <v>1.0</v>
      </c>
      <c r="B3" s="13" t="s">
        <v>19</v>
      </c>
      <c r="C3" s="13">
        <v>15.0</v>
      </c>
      <c r="D3" s="13"/>
      <c r="E3" s="15"/>
      <c r="F3" s="16">
        <v>15.0</v>
      </c>
    </row>
    <row r="4">
      <c r="A4" s="11">
        <v>2.0</v>
      </c>
      <c r="B4" s="13" t="s">
        <v>23</v>
      </c>
      <c r="C4" s="13">
        <v>15.0</v>
      </c>
      <c r="D4" s="13"/>
      <c r="E4" s="15">
        <v>1.0</v>
      </c>
      <c r="F4" s="16">
        <v>15.0</v>
      </c>
    </row>
    <row r="5">
      <c r="A5" s="11">
        <v>3.0</v>
      </c>
      <c r="B5" s="13" t="s">
        <v>24</v>
      </c>
      <c r="C5" s="13">
        <v>15.0</v>
      </c>
      <c r="D5" s="13"/>
      <c r="E5" s="15"/>
      <c r="F5" s="16">
        <v>15.0</v>
      </c>
    </row>
    <row r="6">
      <c r="A6" s="11">
        <v>4.0</v>
      </c>
      <c r="B6" s="13" t="s">
        <v>26</v>
      </c>
      <c r="C6" s="13">
        <v>15.0</v>
      </c>
      <c r="D6" s="13"/>
      <c r="E6" s="15"/>
      <c r="F6" s="16">
        <v>15.0</v>
      </c>
    </row>
    <row r="7">
      <c r="A7" s="11">
        <v>5.0</v>
      </c>
      <c r="B7" s="13" t="s">
        <v>29</v>
      </c>
      <c r="C7" s="13">
        <v>15.0</v>
      </c>
      <c r="D7" s="13"/>
      <c r="E7" s="15"/>
      <c r="F7" s="16">
        <v>15.0</v>
      </c>
    </row>
    <row r="8">
      <c r="A8" s="11">
        <v>6.0</v>
      </c>
      <c r="B8" s="13" t="s">
        <v>31</v>
      </c>
      <c r="C8" s="13">
        <v>15.0</v>
      </c>
      <c r="D8" s="13"/>
      <c r="E8" s="15"/>
      <c r="F8" s="16">
        <v>15.0</v>
      </c>
    </row>
    <row r="9">
      <c r="A9" s="11">
        <v>7.0</v>
      </c>
      <c r="B9" s="13" t="s">
        <v>33</v>
      </c>
      <c r="C9" s="13">
        <v>15.0</v>
      </c>
      <c r="D9" s="13"/>
      <c r="E9" s="15"/>
      <c r="F9" s="16">
        <v>15.0</v>
      </c>
    </row>
    <row r="10">
      <c r="A10" s="11">
        <v>8.0</v>
      </c>
      <c r="B10" s="13" t="s">
        <v>35</v>
      </c>
      <c r="C10" s="13">
        <v>15.0</v>
      </c>
      <c r="D10" s="13"/>
      <c r="E10" s="15"/>
      <c r="F10" s="16">
        <v>15.0</v>
      </c>
    </row>
    <row r="11">
      <c r="A11" s="11">
        <v>9.0</v>
      </c>
      <c r="B11" s="13" t="s">
        <v>37</v>
      </c>
      <c r="C11" s="13">
        <v>15.0</v>
      </c>
      <c r="D11" s="13"/>
      <c r="E11" s="15">
        <v>1.0</v>
      </c>
      <c r="F11" s="16">
        <v>15.0</v>
      </c>
    </row>
    <row r="12">
      <c r="A12" s="11">
        <v>10.0</v>
      </c>
      <c r="B12" s="13" t="s">
        <v>39</v>
      </c>
      <c r="C12" s="13">
        <v>15.0</v>
      </c>
      <c r="D12" s="13"/>
      <c r="E12" s="15"/>
      <c r="F12" s="16">
        <v>15.0</v>
      </c>
    </row>
    <row r="13">
      <c r="A13" s="11">
        <v>11.0</v>
      </c>
      <c r="B13" s="13" t="s">
        <v>41</v>
      </c>
      <c r="C13" s="13">
        <v>15.0</v>
      </c>
      <c r="D13" s="13"/>
      <c r="E13" s="15">
        <v>1.0</v>
      </c>
      <c r="F13" s="16">
        <v>15.0</v>
      </c>
    </row>
    <row r="14">
      <c r="A14" s="11">
        <v>12.0</v>
      </c>
      <c r="B14" s="13" t="s">
        <v>43</v>
      </c>
      <c r="C14" s="13">
        <v>15.0</v>
      </c>
      <c r="D14" s="13"/>
      <c r="E14" s="15"/>
      <c r="F14" s="16">
        <v>15.0</v>
      </c>
    </row>
    <row r="15">
      <c r="A15" s="11">
        <v>13.0</v>
      </c>
      <c r="B15" s="13" t="s">
        <v>46</v>
      </c>
      <c r="C15" s="13">
        <v>15.0</v>
      </c>
      <c r="D15" s="13"/>
      <c r="E15" s="15"/>
      <c r="F15" s="16">
        <v>15.0</v>
      </c>
    </row>
    <row r="16">
      <c r="A16" s="11">
        <v>14.0</v>
      </c>
      <c r="B16" s="13" t="s">
        <v>49</v>
      </c>
      <c r="C16" s="13">
        <v>15.0</v>
      </c>
      <c r="D16" s="13"/>
      <c r="E16" s="15">
        <v>1.0</v>
      </c>
      <c r="F16" s="16">
        <v>15.0</v>
      </c>
    </row>
    <row r="17">
      <c r="A17" s="11">
        <v>15.0</v>
      </c>
      <c r="B17" s="13" t="s">
        <v>51</v>
      </c>
      <c r="C17" s="13">
        <v>15.0</v>
      </c>
      <c r="D17" s="13"/>
      <c r="E17" s="15"/>
      <c r="F17" s="16">
        <v>15.0</v>
      </c>
    </row>
    <row r="18">
      <c r="A18" s="11">
        <v>16.0</v>
      </c>
      <c r="B18" s="13" t="s">
        <v>54</v>
      </c>
      <c r="C18" s="13">
        <v>15.0</v>
      </c>
      <c r="D18" s="13"/>
      <c r="E18" s="15"/>
      <c r="F18" s="16">
        <v>15.0</v>
      </c>
    </row>
    <row r="19">
      <c r="A19" s="11">
        <v>17.0</v>
      </c>
      <c r="B19" s="13" t="s">
        <v>57</v>
      </c>
      <c r="C19" s="13">
        <v>15.0</v>
      </c>
      <c r="D19" s="13"/>
      <c r="E19" s="15"/>
      <c r="F19" s="16">
        <v>15.0</v>
      </c>
    </row>
    <row r="20">
      <c r="A20" s="11"/>
      <c r="B20" s="13" t="s">
        <v>60</v>
      </c>
      <c r="C20" s="13">
        <v>15.0</v>
      </c>
      <c r="D20" s="13"/>
      <c r="E20" s="15"/>
      <c r="F20" s="16">
        <v>15.0</v>
      </c>
    </row>
    <row r="21" ht="15.75" customHeight="1">
      <c r="C21" s="17">
        <f>SUM(C3:C20)</f>
        <v>270</v>
      </c>
      <c r="F21" s="17">
        <f>SUM(F3:F20)</f>
        <v>270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" t="s">
        <v>1</v>
      </c>
      <c r="B1" s="4"/>
      <c r="C1" s="4"/>
      <c r="D1" s="4"/>
      <c r="E1" s="4"/>
      <c r="F1" s="6"/>
    </row>
    <row r="2">
      <c r="A2" s="7" t="s">
        <v>10</v>
      </c>
      <c r="B2" s="7" t="s">
        <v>13</v>
      </c>
      <c r="C2" s="9" t="s">
        <v>15</v>
      </c>
      <c r="D2" s="9" t="s">
        <v>5</v>
      </c>
      <c r="E2" s="7" t="s">
        <v>16</v>
      </c>
      <c r="F2" s="10" t="s">
        <v>17</v>
      </c>
    </row>
    <row r="3">
      <c r="A3" s="11">
        <v>1.0</v>
      </c>
      <c r="B3" s="13">
        <v>5523.0</v>
      </c>
      <c r="C3" s="15">
        <v>10.0</v>
      </c>
      <c r="D3" s="13"/>
      <c r="E3" s="15"/>
      <c r="F3" s="15">
        <f t="shared" ref="F3:F22" si="1">+C3*E3</f>
        <v>0</v>
      </c>
    </row>
    <row r="4">
      <c r="A4" s="11">
        <v>2.0</v>
      </c>
      <c r="B4" s="13" t="s">
        <v>34</v>
      </c>
      <c r="C4" s="15">
        <v>5.0</v>
      </c>
      <c r="D4" s="13"/>
      <c r="E4" s="15"/>
      <c r="F4" s="15">
        <f t="shared" si="1"/>
        <v>0</v>
      </c>
    </row>
    <row r="5">
      <c r="A5" s="11">
        <v>3.0</v>
      </c>
      <c r="B5" s="13">
        <v>5814.0</v>
      </c>
      <c r="C5" s="15">
        <v>10.0</v>
      </c>
      <c r="D5" s="13"/>
      <c r="E5" s="15"/>
      <c r="F5" s="15">
        <f t="shared" si="1"/>
        <v>0</v>
      </c>
    </row>
    <row r="6">
      <c r="A6" s="11">
        <v>4.0</v>
      </c>
      <c r="B6" s="13">
        <v>5823.0</v>
      </c>
      <c r="C6" s="15">
        <v>10.0</v>
      </c>
      <c r="D6" s="13"/>
      <c r="E6" s="15"/>
      <c r="F6" s="15">
        <f t="shared" si="1"/>
        <v>0</v>
      </c>
    </row>
    <row r="7">
      <c r="A7" s="11">
        <v>5.0</v>
      </c>
      <c r="B7" s="13">
        <v>5822.0</v>
      </c>
      <c r="C7" s="15">
        <v>10.0</v>
      </c>
      <c r="D7" s="15"/>
      <c r="E7" s="15"/>
      <c r="F7" s="15">
        <f t="shared" si="1"/>
        <v>0</v>
      </c>
    </row>
    <row r="8">
      <c r="A8" s="11">
        <v>6.0</v>
      </c>
      <c r="B8" s="13">
        <v>5812.0</v>
      </c>
      <c r="C8" s="15">
        <v>10.0</v>
      </c>
      <c r="D8" s="15"/>
      <c r="E8" s="15"/>
      <c r="F8" s="15">
        <f t="shared" si="1"/>
        <v>0</v>
      </c>
    </row>
    <row r="9">
      <c r="A9" s="11">
        <v>7.0</v>
      </c>
      <c r="B9" s="15" t="s">
        <v>34</v>
      </c>
      <c r="C9" s="15">
        <v>5.0</v>
      </c>
      <c r="D9" s="15"/>
      <c r="E9" s="15"/>
      <c r="F9" s="15">
        <f t="shared" si="1"/>
        <v>0</v>
      </c>
    </row>
    <row r="10">
      <c r="A10" s="11">
        <v>8.0</v>
      </c>
      <c r="B10" s="13">
        <v>5343.0</v>
      </c>
      <c r="C10" s="15">
        <v>10.0</v>
      </c>
      <c r="D10" s="15"/>
      <c r="E10" s="15"/>
      <c r="F10" s="15">
        <f t="shared" si="1"/>
        <v>0</v>
      </c>
    </row>
    <row r="11">
      <c r="A11" s="11">
        <v>9.0</v>
      </c>
      <c r="B11" s="13">
        <v>5911.0</v>
      </c>
      <c r="C11" s="15">
        <v>10.0</v>
      </c>
      <c r="D11" s="15"/>
      <c r="E11" s="15"/>
      <c r="F11" s="15">
        <f t="shared" si="1"/>
        <v>0</v>
      </c>
    </row>
    <row r="12">
      <c r="A12" s="11">
        <v>10.0</v>
      </c>
      <c r="B12" s="13">
        <v>5334.0</v>
      </c>
      <c r="C12" s="15">
        <v>10.0</v>
      </c>
      <c r="D12" s="15"/>
      <c r="E12" s="15"/>
      <c r="F12" s="15">
        <f t="shared" si="1"/>
        <v>0</v>
      </c>
    </row>
    <row r="13">
      <c r="A13" s="11">
        <v>11.0</v>
      </c>
      <c r="B13" s="13">
        <v>6411.0</v>
      </c>
      <c r="C13" s="15">
        <v>10.0</v>
      </c>
      <c r="D13" s="15"/>
      <c r="E13" s="15"/>
      <c r="F13" s="15">
        <f t="shared" si="1"/>
        <v>0</v>
      </c>
    </row>
    <row r="14">
      <c r="A14" s="11">
        <v>12.0</v>
      </c>
      <c r="B14" s="13">
        <v>5322.0</v>
      </c>
      <c r="C14" s="15">
        <v>10.0</v>
      </c>
      <c r="D14" s="15"/>
      <c r="E14" s="15"/>
      <c r="F14" s="15">
        <f t="shared" si="1"/>
        <v>0</v>
      </c>
    </row>
    <row r="15">
      <c r="A15" s="11">
        <v>13.0</v>
      </c>
      <c r="B15" s="13">
        <v>5101.0</v>
      </c>
      <c r="C15" s="15">
        <v>10.0</v>
      </c>
      <c r="D15" s="15"/>
      <c r="E15" s="15"/>
      <c r="F15" s="15">
        <f t="shared" si="1"/>
        <v>0</v>
      </c>
    </row>
    <row r="16">
      <c r="A16" s="11">
        <v>14.0</v>
      </c>
      <c r="B16" s="13">
        <v>5512.0</v>
      </c>
      <c r="C16" s="15">
        <v>10.0</v>
      </c>
      <c r="D16" s="15"/>
      <c r="E16" s="15"/>
      <c r="F16" s="15">
        <f t="shared" si="1"/>
        <v>0</v>
      </c>
    </row>
    <row r="17">
      <c r="A17" s="11">
        <v>15.0</v>
      </c>
      <c r="B17" s="15" t="s">
        <v>65</v>
      </c>
      <c r="C17" s="15">
        <v>10.0</v>
      </c>
      <c r="D17" s="15"/>
      <c r="E17" s="15"/>
      <c r="F17" s="15">
        <f t="shared" si="1"/>
        <v>0</v>
      </c>
    </row>
    <row r="18">
      <c r="A18" s="11">
        <v>16.0</v>
      </c>
      <c r="B18" s="13">
        <v>5519.0</v>
      </c>
      <c r="C18" s="15">
        <v>10.0</v>
      </c>
      <c r="D18" s="15"/>
      <c r="E18" s="15"/>
      <c r="F18" s="15">
        <f t="shared" si="1"/>
        <v>0</v>
      </c>
    </row>
    <row r="19">
      <c r="A19" s="11">
        <v>17.0</v>
      </c>
      <c r="B19" s="13">
        <v>5520.0</v>
      </c>
      <c r="C19" s="15">
        <v>10.0</v>
      </c>
      <c r="D19" s="15"/>
      <c r="E19" s="15"/>
      <c r="F19" s="15">
        <f t="shared" si="1"/>
        <v>0</v>
      </c>
    </row>
    <row r="20">
      <c r="A20" s="11">
        <v>18.0</v>
      </c>
      <c r="B20" s="13">
        <v>6421.0</v>
      </c>
      <c r="C20" s="15">
        <v>10.0</v>
      </c>
      <c r="D20" s="15"/>
      <c r="E20" s="15"/>
      <c r="F20" s="15">
        <f t="shared" si="1"/>
        <v>0</v>
      </c>
    </row>
    <row r="21" ht="15.75" customHeight="1">
      <c r="A21" s="11">
        <v>19.0</v>
      </c>
      <c r="B21" s="13">
        <v>5521.0</v>
      </c>
      <c r="C21" s="15">
        <v>10.0</v>
      </c>
      <c r="D21" s="15"/>
      <c r="E21" s="15"/>
      <c r="F21" s="15">
        <f t="shared" si="1"/>
        <v>0</v>
      </c>
    </row>
    <row r="22" ht="15.75" customHeight="1">
      <c r="A22" s="11">
        <v>20.0</v>
      </c>
      <c r="B22" s="13">
        <v>5351.0</v>
      </c>
      <c r="C22" s="15">
        <v>10.0</v>
      </c>
      <c r="D22" s="15"/>
      <c r="E22" s="15"/>
      <c r="F22" s="15">
        <f t="shared" si="1"/>
        <v>0</v>
      </c>
    </row>
    <row r="23" ht="15.75" customHeight="1">
      <c r="C23" s="19">
        <f>SUM(C3:C22)</f>
        <v>190</v>
      </c>
      <c r="F23" s="20">
        <f>SUM(F3:F22)</f>
        <v>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6.14"/>
    <col customWidth="1" min="3" max="5" width="10.71"/>
    <col customWidth="1" min="6" max="6" width="14.71"/>
    <col customWidth="1" min="7" max="26" width="10.71"/>
  </cols>
  <sheetData>
    <row r="1">
      <c r="A1" s="2" t="s">
        <v>1</v>
      </c>
      <c r="B1" s="4"/>
      <c r="C1" s="4"/>
      <c r="D1" s="4"/>
      <c r="E1" s="4"/>
      <c r="F1" s="6"/>
    </row>
    <row r="2">
      <c r="A2" s="7" t="s">
        <v>10</v>
      </c>
      <c r="B2" s="7" t="s">
        <v>13</v>
      </c>
      <c r="C2" s="9" t="s">
        <v>15</v>
      </c>
      <c r="D2" s="9" t="s">
        <v>5</v>
      </c>
      <c r="E2" s="7" t="s">
        <v>16</v>
      </c>
      <c r="F2" s="10" t="s">
        <v>17</v>
      </c>
    </row>
    <row r="3">
      <c r="A3" s="11">
        <v>1.0</v>
      </c>
      <c r="B3" s="13" t="s">
        <v>27</v>
      </c>
      <c r="C3" s="13">
        <v>1.0</v>
      </c>
      <c r="D3" s="13">
        <v>5.0</v>
      </c>
      <c r="E3" s="13"/>
      <c r="F3" s="13">
        <f t="shared" ref="F3:F37" si="1">+D3-E3</f>
        <v>5</v>
      </c>
    </row>
    <row r="4">
      <c r="A4" s="11">
        <v>2.0</v>
      </c>
      <c r="B4" s="13" t="s">
        <v>45</v>
      </c>
      <c r="C4" s="13">
        <v>1.0</v>
      </c>
      <c r="D4" s="13">
        <v>5.0</v>
      </c>
      <c r="E4" s="13"/>
      <c r="F4" s="13">
        <f t="shared" si="1"/>
        <v>5</v>
      </c>
    </row>
    <row r="5">
      <c r="A5" s="11">
        <v>3.0</v>
      </c>
      <c r="B5" s="13" t="s">
        <v>48</v>
      </c>
      <c r="C5" s="13">
        <v>1.0</v>
      </c>
      <c r="D5" s="13">
        <v>5.0</v>
      </c>
      <c r="E5" s="13"/>
      <c r="F5" s="13">
        <f t="shared" si="1"/>
        <v>5</v>
      </c>
    </row>
    <row r="6">
      <c r="A6" s="11">
        <v>4.0</v>
      </c>
      <c r="B6" s="13" t="s">
        <v>52</v>
      </c>
      <c r="C6" s="13">
        <v>1.0</v>
      </c>
      <c r="D6" s="13">
        <v>5.0</v>
      </c>
      <c r="E6" s="13">
        <v>2.0</v>
      </c>
      <c r="F6" s="13">
        <f t="shared" si="1"/>
        <v>3</v>
      </c>
    </row>
    <row r="7">
      <c r="A7" s="11">
        <v>5.0</v>
      </c>
      <c r="B7" s="13" t="s">
        <v>55</v>
      </c>
      <c r="C7" s="13">
        <v>1.0</v>
      </c>
      <c r="D7" s="13">
        <v>5.0</v>
      </c>
      <c r="E7" s="13"/>
      <c r="F7" s="13">
        <f t="shared" si="1"/>
        <v>5</v>
      </c>
    </row>
    <row r="8">
      <c r="A8" s="11">
        <v>6.0</v>
      </c>
      <c r="B8" s="13" t="s">
        <v>58</v>
      </c>
      <c r="C8" s="13">
        <v>1.0</v>
      </c>
      <c r="D8" s="13">
        <v>5.0</v>
      </c>
      <c r="E8" s="13"/>
      <c r="F8" s="13">
        <f t="shared" si="1"/>
        <v>5</v>
      </c>
    </row>
    <row r="9">
      <c r="A9" s="11">
        <v>7.0</v>
      </c>
      <c r="B9" s="13" t="s">
        <v>61</v>
      </c>
      <c r="C9" s="13">
        <v>1.0</v>
      </c>
      <c r="D9" s="13">
        <v>6.0</v>
      </c>
      <c r="E9" s="13"/>
      <c r="F9" s="13">
        <f t="shared" si="1"/>
        <v>6</v>
      </c>
    </row>
    <row r="10">
      <c r="A10" s="11">
        <v>8.0</v>
      </c>
      <c r="B10" s="13" t="s">
        <v>63</v>
      </c>
      <c r="C10" s="13">
        <v>1.0</v>
      </c>
      <c r="D10" s="13">
        <v>6.0</v>
      </c>
      <c r="E10" s="13"/>
      <c r="F10" s="13">
        <f t="shared" si="1"/>
        <v>6</v>
      </c>
    </row>
    <row r="11">
      <c r="A11" s="11">
        <v>9.0</v>
      </c>
      <c r="B11" s="13" t="s">
        <v>66</v>
      </c>
      <c r="C11" s="13">
        <v>1.0</v>
      </c>
      <c r="D11" s="13">
        <v>6.0</v>
      </c>
      <c r="E11" s="13"/>
      <c r="F11" s="13">
        <f t="shared" si="1"/>
        <v>6</v>
      </c>
    </row>
    <row r="12">
      <c r="A12" s="11">
        <v>10.0</v>
      </c>
      <c r="B12" s="13" t="s">
        <v>69</v>
      </c>
      <c r="C12" s="13">
        <v>1.0</v>
      </c>
      <c r="D12" s="13">
        <v>6.0</v>
      </c>
      <c r="E12" s="13"/>
      <c r="F12" s="13">
        <f t="shared" si="1"/>
        <v>6</v>
      </c>
    </row>
    <row r="13">
      <c r="A13" s="11">
        <v>11.0</v>
      </c>
      <c r="B13" s="13" t="s">
        <v>71</v>
      </c>
      <c r="C13" s="13">
        <v>1.0</v>
      </c>
      <c r="D13" s="13">
        <v>5.0</v>
      </c>
      <c r="E13" s="13"/>
      <c r="F13" s="13">
        <f t="shared" si="1"/>
        <v>5</v>
      </c>
    </row>
    <row r="14">
      <c r="A14" s="11">
        <v>12.0</v>
      </c>
      <c r="B14" s="13" t="s">
        <v>74</v>
      </c>
      <c r="C14" s="13">
        <v>1.0</v>
      </c>
      <c r="D14" s="13">
        <v>5.0</v>
      </c>
      <c r="E14" s="13"/>
      <c r="F14" s="13">
        <f t="shared" si="1"/>
        <v>5</v>
      </c>
    </row>
    <row r="15">
      <c r="A15" s="11">
        <v>13.0</v>
      </c>
      <c r="B15" s="13" t="s">
        <v>75</v>
      </c>
      <c r="C15" s="13">
        <v>1.0</v>
      </c>
      <c r="D15" s="13">
        <v>6.0</v>
      </c>
      <c r="E15" s="13"/>
      <c r="F15" s="13">
        <f t="shared" si="1"/>
        <v>6</v>
      </c>
    </row>
    <row r="16">
      <c r="A16" s="11">
        <v>14.0</v>
      </c>
      <c r="B16" s="13" t="s">
        <v>78</v>
      </c>
      <c r="C16" s="13">
        <v>1.0</v>
      </c>
      <c r="D16" s="13">
        <v>6.0</v>
      </c>
      <c r="E16" s="13"/>
      <c r="F16" s="13">
        <f t="shared" si="1"/>
        <v>6</v>
      </c>
    </row>
    <row r="17">
      <c r="A17" s="11">
        <v>15.0</v>
      </c>
      <c r="B17" s="13" t="s">
        <v>79</v>
      </c>
      <c r="C17" s="13">
        <v>1.0</v>
      </c>
      <c r="D17" s="13">
        <v>6.0</v>
      </c>
      <c r="E17" s="13"/>
      <c r="F17" s="13">
        <f t="shared" si="1"/>
        <v>6</v>
      </c>
    </row>
    <row r="18">
      <c r="A18" s="11">
        <v>16.0</v>
      </c>
      <c r="B18" s="13" t="s">
        <v>81</v>
      </c>
      <c r="C18" s="13">
        <v>1.0</v>
      </c>
      <c r="D18" s="13">
        <v>6.0</v>
      </c>
      <c r="E18" s="13"/>
      <c r="F18" s="13">
        <f t="shared" si="1"/>
        <v>6</v>
      </c>
    </row>
    <row r="19">
      <c r="A19" s="11">
        <v>17.0</v>
      </c>
      <c r="B19" s="13" t="s">
        <v>83</v>
      </c>
      <c r="C19" s="13">
        <v>1.0</v>
      </c>
      <c r="D19" s="13">
        <v>5.0</v>
      </c>
      <c r="E19" s="13"/>
      <c r="F19" s="13">
        <f t="shared" si="1"/>
        <v>5</v>
      </c>
    </row>
    <row r="20">
      <c r="A20" s="11">
        <v>18.0</v>
      </c>
      <c r="B20" s="13" t="s">
        <v>85</v>
      </c>
      <c r="C20" s="13">
        <v>1.0</v>
      </c>
      <c r="D20" s="13">
        <v>6.0</v>
      </c>
      <c r="E20" s="13"/>
      <c r="F20" s="13">
        <f t="shared" si="1"/>
        <v>6</v>
      </c>
    </row>
    <row r="21" ht="15.75" customHeight="1">
      <c r="A21" s="11">
        <v>19.0</v>
      </c>
      <c r="B21" s="13" t="s">
        <v>87</v>
      </c>
      <c r="C21" s="13">
        <v>1.0</v>
      </c>
      <c r="D21" s="13">
        <v>6.0</v>
      </c>
      <c r="E21" s="13"/>
      <c r="F21" s="13">
        <f t="shared" si="1"/>
        <v>6</v>
      </c>
    </row>
    <row r="22" ht="15.75" customHeight="1">
      <c r="A22" s="11">
        <v>20.0</v>
      </c>
      <c r="B22" s="13" t="s">
        <v>90</v>
      </c>
      <c r="C22" s="13">
        <v>2.0</v>
      </c>
      <c r="D22" s="13">
        <v>10.0</v>
      </c>
      <c r="E22" s="13"/>
      <c r="F22" s="13">
        <f t="shared" si="1"/>
        <v>10</v>
      </c>
    </row>
    <row r="23" ht="15.75" customHeight="1">
      <c r="A23" s="11">
        <v>21.0</v>
      </c>
      <c r="B23" s="13" t="s">
        <v>93</v>
      </c>
      <c r="C23" s="13">
        <v>2.0</v>
      </c>
      <c r="D23" s="13">
        <v>10.0</v>
      </c>
      <c r="E23" s="13"/>
      <c r="F23" s="13">
        <f t="shared" si="1"/>
        <v>10</v>
      </c>
    </row>
    <row r="24" ht="15.75" customHeight="1">
      <c r="A24" s="11">
        <v>22.0</v>
      </c>
      <c r="B24" s="13" t="s">
        <v>95</v>
      </c>
      <c r="C24" s="13">
        <v>2.0</v>
      </c>
      <c r="D24" s="13">
        <v>10.0</v>
      </c>
      <c r="E24" s="13">
        <v>5.0</v>
      </c>
      <c r="F24" s="13">
        <f t="shared" si="1"/>
        <v>5</v>
      </c>
    </row>
    <row r="25" ht="15.75" customHeight="1">
      <c r="A25" s="11">
        <v>23.0</v>
      </c>
      <c r="B25" s="13" t="s">
        <v>97</v>
      </c>
      <c r="C25" s="13">
        <v>2.0</v>
      </c>
      <c r="D25" s="13">
        <v>10.0</v>
      </c>
      <c r="E25" s="13"/>
      <c r="F25" s="13">
        <f t="shared" si="1"/>
        <v>10</v>
      </c>
    </row>
    <row r="26" ht="15.75" customHeight="1">
      <c r="A26" s="11">
        <v>24.0</v>
      </c>
      <c r="B26" s="13" t="s">
        <v>99</v>
      </c>
      <c r="C26" s="13">
        <v>2.0</v>
      </c>
      <c r="D26" s="13">
        <v>10.0</v>
      </c>
      <c r="E26" s="13"/>
      <c r="F26" s="13">
        <f t="shared" si="1"/>
        <v>10</v>
      </c>
    </row>
    <row r="27" ht="15.75" customHeight="1">
      <c r="A27" s="11">
        <v>25.0</v>
      </c>
      <c r="B27" s="13" t="s">
        <v>102</v>
      </c>
      <c r="C27" s="13">
        <v>2.0</v>
      </c>
      <c r="D27" s="13">
        <v>10.0</v>
      </c>
      <c r="E27" s="13"/>
      <c r="F27" s="13">
        <f t="shared" si="1"/>
        <v>10</v>
      </c>
    </row>
    <row r="28" ht="15.75" customHeight="1">
      <c r="A28" s="11">
        <v>26.0</v>
      </c>
      <c r="B28" s="13" t="s">
        <v>105</v>
      </c>
      <c r="C28" s="13">
        <v>2.0</v>
      </c>
      <c r="D28" s="13">
        <v>10.0</v>
      </c>
      <c r="E28" s="13"/>
      <c r="F28" s="13">
        <f t="shared" si="1"/>
        <v>10</v>
      </c>
    </row>
    <row r="29" ht="15.75" customHeight="1">
      <c r="A29" s="11">
        <v>27.0</v>
      </c>
      <c r="B29" s="13" t="s">
        <v>108</v>
      </c>
      <c r="C29" s="13">
        <v>2.0</v>
      </c>
      <c r="D29" s="13">
        <v>10.0</v>
      </c>
      <c r="E29" s="13"/>
      <c r="F29" s="13">
        <f t="shared" si="1"/>
        <v>10</v>
      </c>
    </row>
    <row r="30" ht="15.75" customHeight="1">
      <c r="A30" s="11">
        <v>28.0</v>
      </c>
      <c r="B30" s="13" t="s">
        <v>110</v>
      </c>
      <c r="C30" s="13">
        <v>2.0</v>
      </c>
      <c r="D30" s="13">
        <v>10.0</v>
      </c>
      <c r="E30" s="13"/>
      <c r="F30" s="13">
        <f t="shared" si="1"/>
        <v>10</v>
      </c>
    </row>
    <row r="31" ht="15.75" customHeight="1">
      <c r="A31" s="11">
        <v>29.0</v>
      </c>
      <c r="B31" s="13" t="s">
        <v>111</v>
      </c>
      <c r="C31" s="13">
        <v>2.0</v>
      </c>
      <c r="D31" s="13">
        <v>10.0</v>
      </c>
      <c r="E31" s="13"/>
      <c r="F31" s="13">
        <f t="shared" si="1"/>
        <v>10</v>
      </c>
    </row>
    <row r="32" ht="15.75" customHeight="1">
      <c r="A32" s="11">
        <v>30.0</v>
      </c>
      <c r="B32" s="13" t="s">
        <v>112</v>
      </c>
      <c r="C32" s="13">
        <v>2.0</v>
      </c>
      <c r="D32" s="13">
        <v>10.0</v>
      </c>
      <c r="E32" s="13"/>
      <c r="F32" s="13">
        <f t="shared" si="1"/>
        <v>10</v>
      </c>
    </row>
    <row r="33" ht="15.75" customHeight="1">
      <c r="A33" s="11">
        <v>31.0</v>
      </c>
      <c r="B33" s="13" t="s">
        <v>113</v>
      </c>
      <c r="C33" s="13">
        <v>2.0</v>
      </c>
      <c r="D33" s="13">
        <v>10.0</v>
      </c>
      <c r="E33" s="13"/>
      <c r="F33" s="13">
        <f t="shared" si="1"/>
        <v>10</v>
      </c>
    </row>
    <row r="34" ht="15.75" customHeight="1">
      <c r="A34" s="11">
        <v>32.0</v>
      </c>
      <c r="B34" s="13" t="s">
        <v>114</v>
      </c>
      <c r="C34" s="13">
        <v>2.0</v>
      </c>
      <c r="D34" s="13">
        <v>10.0</v>
      </c>
      <c r="E34" s="13"/>
      <c r="F34" s="13">
        <f t="shared" si="1"/>
        <v>10</v>
      </c>
    </row>
    <row r="35" ht="15.75" customHeight="1">
      <c r="A35" s="11">
        <v>33.0</v>
      </c>
      <c r="B35" s="13" t="s">
        <v>115</v>
      </c>
      <c r="C35" s="13">
        <v>2.0</v>
      </c>
      <c r="D35" s="13">
        <v>10.0</v>
      </c>
      <c r="E35" s="13"/>
      <c r="F35" s="13">
        <f t="shared" si="1"/>
        <v>10</v>
      </c>
    </row>
    <row r="36" ht="15.75" customHeight="1">
      <c r="A36" s="11">
        <v>34.0</v>
      </c>
      <c r="B36" s="13" t="s">
        <v>116</v>
      </c>
      <c r="C36" s="13">
        <v>2.0</v>
      </c>
      <c r="D36" s="13">
        <v>10.0</v>
      </c>
      <c r="E36" s="13"/>
      <c r="F36" s="13">
        <f t="shared" si="1"/>
        <v>10</v>
      </c>
    </row>
    <row r="37" ht="15.75" customHeight="1">
      <c r="A37" s="11">
        <v>35.0</v>
      </c>
      <c r="B37" s="13" t="s">
        <v>117</v>
      </c>
      <c r="C37" s="13">
        <v>2.0</v>
      </c>
      <c r="D37" s="13">
        <v>10.0</v>
      </c>
      <c r="E37" s="13"/>
      <c r="F37" s="13">
        <f t="shared" si="1"/>
        <v>10</v>
      </c>
    </row>
    <row r="38" ht="15.75" customHeight="1">
      <c r="D38" s="19">
        <f>SUM(D3:D37)</f>
        <v>265</v>
      </c>
      <c r="E38" s="19"/>
      <c r="F38" s="22">
        <f>SUM(F3:F37)</f>
        <v>258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71"/>
    <col customWidth="1" min="3" max="26" width="10.71"/>
  </cols>
  <sheetData>
    <row r="1">
      <c r="A1" s="2" t="s">
        <v>131</v>
      </c>
      <c r="B1" s="4"/>
      <c r="C1" s="4"/>
      <c r="D1" s="4"/>
      <c r="E1" s="4"/>
      <c r="F1" s="6"/>
    </row>
    <row r="2">
      <c r="A2" s="7" t="s">
        <v>10</v>
      </c>
      <c r="B2" s="7" t="s">
        <v>13</v>
      </c>
      <c r="C2" s="9" t="s">
        <v>15</v>
      </c>
      <c r="D2" s="9" t="s">
        <v>5</v>
      </c>
      <c r="E2" s="7" t="s">
        <v>16</v>
      </c>
      <c r="F2" s="10" t="s">
        <v>17</v>
      </c>
    </row>
    <row r="3" ht="69.75" customHeight="1">
      <c r="A3" s="23" t="s">
        <v>136</v>
      </c>
      <c r="B3" s="24" t="s">
        <v>138</v>
      </c>
      <c r="C3" s="13"/>
      <c r="D3" s="13">
        <v>50.0</v>
      </c>
      <c r="E3" s="13">
        <v>10.0</v>
      </c>
      <c r="F3" s="13">
        <f t="shared" ref="F3:F11" si="1">+D3-E3</f>
        <v>40</v>
      </c>
    </row>
    <row r="4">
      <c r="A4" s="23" t="s">
        <v>142</v>
      </c>
      <c r="B4" s="24" t="s">
        <v>143</v>
      </c>
      <c r="C4" s="13"/>
      <c r="D4" s="13">
        <v>50.0</v>
      </c>
      <c r="E4" s="13">
        <v>9.0</v>
      </c>
      <c r="F4" s="13">
        <f t="shared" si="1"/>
        <v>41</v>
      </c>
    </row>
    <row r="5">
      <c r="A5" s="23" t="s">
        <v>145</v>
      </c>
      <c r="B5" s="24" t="s">
        <v>146</v>
      </c>
      <c r="C5" s="13"/>
      <c r="D5" s="13">
        <v>50.0</v>
      </c>
      <c r="E5" s="13"/>
      <c r="F5" s="13">
        <f t="shared" si="1"/>
        <v>50</v>
      </c>
    </row>
    <row r="6">
      <c r="A6" s="25" t="s">
        <v>148</v>
      </c>
      <c r="B6" s="26" t="s">
        <v>150</v>
      </c>
      <c r="C6" s="13"/>
      <c r="D6" s="13">
        <v>50.0</v>
      </c>
      <c r="E6" s="13"/>
      <c r="F6" s="13">
        <f t="shared" si="1"/>
        <v>50</v>
      </c>
    </row>
    <row r="7">
      <c r="A7" s="27"/>
      <c r="B7" s="24" t="s">
        <v>151</v>
      </c>
      <c r="C7" s="13"/>
      <c r="D7" s="13">
        <v>50.0</v>
      </c>
      <c r="E7" s="13">
        <v>3.0</v>
      </c>
      <c r="F7" s="13">
        <f t="shared" si="1"/>
        <v>47</v>
      </c>
    </row>
    <row r="8">
      <c r="A8" s="23" t="s">
        <v>152</v>
      </c>
      <c r="B8" s="24" t="s">
        <v>154</v>
      </c>
      <c r="C8" s="13"/>
      <c r="D8" s="13">
        <v>50.0</v>
      </c>
      <c r="E8" s="13"/>
      <c r="F8" s="13">
        <f t="shared" si="1"/>
        <v>50</v>
      </c>
    </row>
    <row r="9">
      <c r="A9" s="23" t="s">
        <v>157</v>
      </c>
      <c r="B9" s="24" t="s">
        <v>159</v>
      </c>
      <c r="C9" s="13"/>
      <c r="D9" s="13">
        <v>50.0</v>
      </c>
      <c r="E9" s="13"/>
      <c r="F9" s="13">
        <f t="shared" si="1"/>
        <v>50</v>
      </c>
    </row>
    <row r="10">
      <c r="A10" s="25" t="s">
        <v>160</v>
      </c>
      <c r="B10" s="24" t="s">
        <v>162</v>
      </c>
      <c r="C10" s="13"/>
      <c r="D10" s="13">
        <v>50.0</v>
      </c>
      <c r="E10" s="13"/>
      <c r="F10" s="13">
        <f t="shared" si="1"/>
        <v>50</v>
      </c>
    </row>
    <row r="11">
      <c r="A11" s="27"/>
      <c r="B11" s="24" t="s">
        <v>163</v>
      </c>
      <c r="C11" s="13"/>
      <c r="D11" s="13">
        <v>50.0</v>
      </c>
      <c r="E11" s="13"/>
      <c r="F11" s="13">
        <f t="shared" si="1"/>
        <v>50</v>
      </c>
    </row>
    <row r="12">
      <c r="A12" s="13"/>
      <c r="B12" s="13"/>
      <c r="C12" s="13"/>
      <c r="D12" s="7">
        <f t="shared" ref="D12:F12" si="2">SUM(D3:D11)</f>
        <v>450</v>
      </c>
      <c r="E12" s="7">
        <f t="shared" si="2"/>
        <v>22</v>
      </c>
      <c r="F12" s="7">
        <f t="shared" si="2"/>
        <v>428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6:A7"/>
    <mergeCell ref="A10:A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2026-09-14T19:36:54Z</dcterms:created>
  <dc:creator>alexis madrigal</dc:creator>
</cp:coreProperties>
</file>